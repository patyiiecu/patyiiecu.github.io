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21.xml" ContentType="application/vnd.openxmlformats-officedocument.drawingml.char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<sst xmlns="http://schemas.openxmlformats.org/spreadsheetml/2006/main" count="6" uniqueCount="6">
  <si>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x</t>
  </si>
  <si>
    <t xml:space="preserve">y</t>
  </si>
  <si>
    <t xml:space="preserve">y hat</t>
  </si>
  <si>
    <t xml:space="preserve">slope</t>
  </si>
  <si>
    <t xml:space="preserve">intercept</t>
  </si>
  <si>
    <t xml:space="preserve">residual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</si>
</sst>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Head circumference versus height</a:t>
            </a:r>
          </a:p>
        </c:rich>
      </c:tx>
      <c:overlay val="0"/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Sheet1!$A$2:$A$11</c:f>
              <c:numCache>
                <c:formatCode>General</c:formatCode>
                <c:ptCount val="10"/>
                <c:pt idx="0">
                  <c:v>27.75</c:v>
                </c:pt>
                <c:pt idx="1">
                  <c:v>24.5</c:v>
                </c:pt>
                <c:pt idx="2">
                  <c:v>25.5</c:v>
                </c:pt>
                <c:pt idx="3">
                  <c:v>26</c:v>
                </c:pt>
                <c:pt idx="4">
                  <c:v>25</c:v>
                </c:pt>
                <c:pt idx="5">
                  <c:v>26.5</c:v>
                </c:pt>
                <c:pt idx="6">
                  <c:v>27</c:v>
                </c:pt>
                <c:pt idx="7">
                  <c:v>26.75</c:v>
                </c:pt>
                <c:pt idx="8">
                  <c:v>26.75</c:v>
                </c:pt>
                <c:pt idx="9">
                  <c:v>27.5</c:v>
                </c:pt>
              </c:numCache>
            </c:numRef>
          </c:xVal>
          <c:yVal>
            <c:numRef>
              <c:f>Sheet1!$B$2:$B$11</c:f>
              <c:numCache>
                <c:formatCode>General</c:formatCode>
                <c:ptCount val="10"/>
                <c:pt idx="0">
                  <c:v>17.5</c:v>
                </c:pt>
                <c:pt idx="1">
                  <c:v>17.1</c:v>
                </c:pt>
                <c:pt idx="2">
                  <c:v>17.1</c:v>
                </c:pt>
                <c:pt idx="3">
                  <c:v>17.3</c:v>
                </c:pt>
                <c:pt idx="4">
                  <c:v>16.9</c:v>
                </c:pt>
                <c:pt idx="5">
                  <c:v>17.3</c:v>
                </c:pt>
                <c:pt idx="6">
                  <c:v>17.5</c:v>
                </c:pt>
                <c:pt idx="7">
                  <c:v>17.3</c:v>
                </c:pt>
                <c:pt idx="8">
                  <c:v>17.5</c:v>
                </c:pt>
                <c:pt idx="9">
                  <c:v>17.5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y hat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Sheet1!$A$2:$A$11</c:f>
              <c:numCache>
                <c:formatCode>General</c:formatCode>
                <c:ptCount val="10"/>
                <c:pt idx="0">
                  <c:v>27.75</c:v>
                </c:pt>
                <c:pt idx="1">
                  <c:v>24.5</c:v>
                </c:pt>
                <c:pt idx="2">
                  <c:v>25.5</c:v>
                </c:pt>
                <c:pt idx="3">
                  <c:v>26</c:v>
                </c:pt>
                <c:pt idx="4">
                  <c:v>25</c:v>
                </c:pt>
                <c:pt idx="5">
                  <c:v>26.5</c:v>
                </c:pt>
                <c:pt idx="6">
                  <c:v>27</c:v>
                </c:pt>
                <c:pt idx="7">
                  <c:v>26.75</c:v>
                </c:pt>
                <c:pt idx="8">
                  <c:v>26.75</c:v>
                </c:pt>
                <c:pt idx="9">
                  <c:v>27.5</c:v>
                </c:pt>
              </c:numCache>
            </c:numRef>
          </c:xVal>
          <c:yVal>
            <c:numRef>
              <c:f>Sheet1!$C$2:$C$11</c:f>
              <c:numCache>
                <c:formatCode>General</c:formatCode>
                <c:ptCount val="10"/>
                <c:pt idx="0">
                  <c:v>17.553177051203</c:v>
                </c:pt>
                <c:pt idx="1">
                  <c:v>16.9757557063541</c:v>
                </c:pt>
                <c:pt idx="2">
                  <c:v>17.1534238124614</c:v>
                </c:pt>
                <c:pt idx="3">
                  <c:v>17.2422578655151</c:v>
                </c:pt>
                <c:pt idx="4">
                  <c:v>17.0645897594078</c:v>
                </c:pt>
                <c:pt idx="5">
                  <c:v>17.3310919185688</c:v>
                </c:pt>
                <c:pt idx="6">
                  <c:v>17.4199259716225</c:v>
                </c:pt>
                <c:pt idx="7">
                  <c:v>17.3755089450956</c:v>
                </c:pt>
                <c:pt idx="8">
                  <c:v>17.3755089450956</c:v>
                </c:pt>
                <c:pt idx="9">
                  <c:v>17.5087600246761</c:v>
                </c:pt>
              </c:numCache>
            </c:numRef>
          </c:yVal>
          <c:smooth val="0"/>
        </c:ser>
        <c:axId val="20116740"/>
        <c:axId val="21801761"/>
      </c:scatterChart>
      <c:valAx>
        <c:axId val="201167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height (inches)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21801761"/>
        <c:crosses val="autoZero"/>
        <c:crossBetween val="midCat"/>
      </c:valAx>
      <c:valAx>
        <c:axId val="21801761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head circumference (inches)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20116740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2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13680</xdr:colOff>
      <xdr:row>0</xdr:row>
      <xdr:rowOff>19080</xdr:rowOff>
    </xdr:from>
    <xdr:to>
      <xdr:col>10</xdr:col>
      <xdr:colOff>729000</xdr:colOff>
      <xdr:row>20</xdr:row>
      <xdr:rowOff>7560</xdr:rowOff>
    </xdr:to>
    <xdr:graphicFrame>
      <xdr:nvGraphicFramePr>
        <xdr:cNvPr id="0" name=""/>
        <xdr:cNvGraphicFramePr/>
      </xdr:nvGraphicFramePr>
      <xdr:xfrm>
        <a:off x="3479400" y="190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E27" activeCellId="0" sqref="E27"/>
    </sheetView>
  </sheetViews>
  <sheetFormatPr defaultRowHeight="12.8"/>
  <cols>
    <col collapsed="false" hidden="false" max="1" min="1" style="0" width="11.9132653061225"/>
    <col collapsed="false" hidden="false" max="2" min="2" style="0" width="13.3724489795918"/>
    <col collapsed="false" hidden="false" max="1025" min="3" style="0" width="11.913265306122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27.75</v>
      </c>
      <c r="B2" s="0" t="n">
        <v>17.5</v>
      </c>
      <c r="C2" s="0" t="n">
        <f aca="false">$B$13*A2+$B$14</f>
        <v>17.553177051203</v>
      </c>
    </row>
    <row r="3" customFormat="false" ht="12.8" hidden="false" customHeight="false" outlineLevel="0" collapsed="false">
      <c r="A3" s="0" t="n">
        <v>24.5</v>
      </c>
      <c r="B3" s="0" t="n">
        <v>17.1</v>
      </c>
      <c r="C3" s="0" t="n">
        <f aca="false">$B$13*A3+$B$14</f>
        <v>16.9757557063541</v>
      </c>
    </row>
    <row r="4" customFormat="false" ht="12.8" hidden="false" customHeight="false" outlineLevel="0" collapsed="false">
      <c r="A4" s="0" t="n">
        <v>25.5</v>
      </c>
      <c r="B4" s="0" t="n">
        <v>17.1</v>
      </c>
      <c r="C4" s="0" t="n">
        <f aca="false">$B$13*A4+$B$14</f>
        <v>17.1534238124614</v>
      </c>
    </row>
    <row r="5" customFormat="false" ht="12.8" hidden="false" customHeight="false" outlineLevel="0" collapsed="false">
      <c r="A5" s="0" t="n">
        <v>26</v>
      </c>
      <c r="B5" s="0" t="n">
        <v>17.3</v>
      </c>
      <c r="C5" s="0" t="n">
        <f aca="false">$B$13*A5+$B$14</f>
        <v>17.2422578655151</v>
      </c>
    </row>
    <row r="6" customFormat="false" ht="12.8" hidden="false" customHeight="false" outlineLevel="0" collapsed="false">
      <c r="A6" s="0" t="n">
        <v>25</v>
      </c>
      <c r="B6" s="0" t="n">
        <v>16.9</v>
      </c>
      <c r="C6" s="0" t="n">
        <f aca="false">$B$13*A6+$B$14</f>
        <v>17.0645897594078</v>
      </c>
    </row>
    <row r="7" customFormat="false" ht="12.8" hidden="false" customHeight="false" outlineLevel="0" collapsed="false">
      <c r="A7" s="0" t="n">
        <v>26.5</v>
      </c>
      <c r="B7" s="0" t="n">
        <v>17.3</v>
      </c>
      <c r="C7" s="0" t="n">
        <f aca="false">$B$13*A7+$B$14</f>
        <v>17.3310919185688</v>
      </c>
    </row>
    <row r="8" customFormat="false" ht="12.8" hidden="false" customHeight="false" outlineLevel="0" collapsed="false">
      <c r="A8" s="0" t="n">
        <v>27</v>
      </c>
      <c r="B8" s="0" t="n">
        <v>17.5</v>
      </c>
      <c r="C8" s="0" t="n">
        <f aca="false">$B$13*A8+$B$14</f>
        <v>17.4199259716225</v>
      </c>
    </row>
    <row r="9" customFormat="false" ht="12.8" hidden="false" customHeight="false" outlineLevel="0" collapsed="false">
      <c r="A9" s="0" t="n">
        <v>26.75</v>
      </c>
      <c r="B9" s="0" t="n">
        <v>17.3</v>
      </c>
      <c r="C9" s="0" t="n">
        <f aca="false">$B$13*A9+$B$14</f>
        <v>17.3755089450956</v>
      </c>
    </row>
    <row r="10" customFormat="false" ht="12.8" hidden="false" customHeight="false" outlineLevel="0" collapsed="false">
      <c r="A10" s="0" t="n">
        <v>26.75</v>
      </c>
      <c r="B10" s="0" t="n">
        <v>17.5</v>
      </c>
      <c r="C10" s="0" t="n">
        <f aca="false">$B$13*A10+$B$14</f>
        <v>17.3755089450956</v>
      </c>
    </row>
    <row r="11" customFormat="false" ht="12.8" hidden="false" customHeight="false" outlineLevel="0" collapsed="false">
      <c r="A11" s="0" t="n">
        <v>27.5</v>
      </c>
      <c r="B11" s="0" t="n">
        <v>17.5</v>
      </c>
      <c r="C11" s="0" t="n">
        <f aca="false">$B$13*A11+$B$14</f>
        <v>17.5087600246761</v>
      </c>
    </row>
    <row r="13" customFormat="false" ht="12.8" hidden="false" customHeight="false" outlineLevel="0" collapsed="false">
      <c r="A13" s="0" t="s">
        <v>3</v>
      </c>
      <c r="B13" s="0" t="n">
        <f aca="false">SLOPE(B2:B11,A2:A11)</f>
        <v>0.177668106107341</v>
      </c>
    </row>
    <row r="14" customFormat="false" ht="12.8" hidden="false" customHeight="false" outlineLevel="0" collapsed="false">
      <c r="A14" s="0" t="s">
        <v>4</v>
      </c>
      <c r="B14" s="0" t="n">
        <f aca="false">INTERCEPT(B2:B11,A2:A11)</f>
        <v>12.6228871067243</v>
      </c>
    </row>
    <row r="16" customFormat="false" ht="12.8" hidden="false" customHeight="false" outlineLevel="0" collapsed="false">
      <c r="D16" s="0" t="s">
        <v>5</v>
      </c>
    </row>
    <row r="17" customFormat="false" ht="12.8" hidden="false" customHeight="false" outlineLevel="0" collapsed="false">
      <c r="A17" s="0" t="n">
        <v>25</v>
      </c>
      <c r="B17" s="0" t="n">
        <v>16.9</v>
      </c>
      <c r="C17" s="0" t="n">
        <f aca="false">$B$13*A17+$B$14</f>
        <v>17.0645897594078</v>
      </c>
      <c r="D17" s="0" t="n">
        <f aca="false">B17-C17</f>
        <v>-0.164589759407775</v>
      </c>
    </row>
    <row r="19" customFormat="false" ht="12.8" hidden="false" customHeight="false" outlineLevel="0" collapsed="false">
      <c r="A19" s="0" t="n">
        <v>32</v>
      </c>
      <c r="C19" s="0" t="n">
        <f aca="false">$B$13*A19+$B$14</f>
        <v>18.3082665021592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2021-05-20T19:21:21Z</dcterms:created>
  <dc:creator/>
  <dc:description/>
  <dc:language>en-US</dc:language>
  <cp:lastModifiedBy/>
  <dcterms:modified xsi:type="dcterms:W3CDTF">2021-05-20T19:38:30Z</dcterms:modified>
  <cp:revision>2</cp:revision>
  <dc:subject/>
  <dc:title/>
</cp:coreProperties>
</file>