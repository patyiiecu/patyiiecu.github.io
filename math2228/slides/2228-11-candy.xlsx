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<sst xmlns="http://schemas.openxmlformats.org/spreadsheetml/2006/main" count="26" uniqueCount="22">
  <si>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Column 1</t>
  </si>
  <si>
    <t xml:space="preserve">Mean</t>
  </si>
  <si>
    <t xml:space="preserve">Standard Error</t>
  </si>
  <si>
    <t xml:space="preserve">Mode</t>
  </si>
  <si>
    <t xml:space="preserve">Median</t>
  </si>
  <si>
    <t xml:space="preserve">First Quartile </t>
  </si>
  <si>
    <t xml:space="preserve">Third Quartile</t>
  </si>
  <si>
    <t xml:space="preserve">Variance</t>
  </si>
  <si>
    <t xml:space="preserve">Standard Deviation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</si>
  <si>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</si>
  <si>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</si>
  <si>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</si>
  <si>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</si>
  <si>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</si>
  <si>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</si>
  <si>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</si>
  <si>
    <t xml:space="preserve">St dev rounded</t>
  </si>
  <si>
    <t xml:space="preserve">The histogram looks bell shaped enough.</t>
  </si>
  <si>
    <t xml:space="preserve">a</t>
  </si>
  <si>
    <t xml:space="preserve">b</t>
  </si>
  <si>
    <t xml:space="preserve">theoretical probability</t>
  </si>
  <si>
    <t xml:space="preserve">empirical probability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</si>
</sst>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Weights of candy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Sheet1!$H$1:$H$10</c:f>
              <c:strCache>
                <c:ptCount val="10"/>
                <c:pt idx="0">
                  <c:v>0.78</c:v>
                </c:pt>
                <c:pt idx="1">
                  <c:v>0.8</c:v>
                </c:pt>
                <c:pt idx="2">
                  <c:v>0.82</c:v>
                </c:pt>
                <c:pt idx="3">
                  <c:v>0.84</c:v>
                </c:pt>
                <c:pt idx="4">
                  <c:v>0.86</c:v>
                </c:pt>
                <c:pt idx="5">
                  <c:v>0.88</c:v>
                </c:pt>
                <c:pt idx="6">
                  <c:v>0.9</c:v>
                </c:pt>
                <c:pt idx="7">
                  <c:v>0.92</c:v>
                </c:pt>
                <c:pt idx="8">
                  <c:v>0.94</c:v>
                </c:pt>
                <c:pt idx="9">
                  <c:v>0.96</c:v>
                </c:pt>
              </c:strCache>
            </c:strRef>
          </c:cat>
          <c:val>
            <c:numRef>
              <c:f>Sheet1!$I$1:$I$10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gapWidth val="100"/>
        <c:overlap val="0"/>
        <c:axId val="74761039"/>
        <c:axId val="44305942"/>
      </c:barChart>
      <c:catAx>
        <c:axId val="747610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Weight in gram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4305942"/>
        <c:crosses val="autoZero"/>
        <c:auto val="1"/>
        <c:lblAlgn val="ctr"/>
        <c:lblOffset val="100"/>
      </c:catAx>
      <c:valAx>
        <c:axId val="4430594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476103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36720</xdr:colOff>
      <xdr:row>0</xdr:row>
      <xdr:rowOff>36000</xdr:rowOff>
    </xdr:from>
    <xdr:to>
      <xdr:col>16</xdr:col>
      <xdr:colOff>106200</xdr:colOff>
      <xdr:row>20</xdr:row>
      <xdr:rowOff>24120</xdr:rowOff>
    </xdr:to>
    <xdr:graphicFrame>
      <xdr:nvGraphicFramePr>
        <xdr:cNvPr id="0" name=""/>
        <xdr:cNvGraphicFramePr/>
      </xdr:nvGraphicFramePr>
      <xdr:xfrm>
        <a:off x="5819400" y="36000"/>
        <a:ext cx="5821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30" activeCellId="0" sqref="N30"/>
    </sheetView>
  </sheetViews>
  <sheetFormatPr defaultRowHeight="12.8"/>
  <cols>
    <col collapsed="false" hidden="false" max="1" min="1" style="0" width="4.98469387755102"/>
    <col collapsed="false" hidden="false" max="3" min="2" style="0" width="2.49489795918367"/>
    <col collapsed="false" hidden="false" max="4" min="4" style="0" width="33.2704081632653"/>
    <col collapsed="false" hidden="false" max="5" min="5" style="0" width="13.7142857142857"/>
    <col collapsed="false" hidden="false" max="6" min="6" style="0" width="11.5204081632653"/>
    <col collapsed="false" hidden="false" max="8" min="7" style="0" width="4.98469387755102"/>
    <col collapsed="false" hidden="false" max="9" min="9" style="0" width="3.51020408163265"/>
    <col collapsed="false" hidden="false" max="1025" min="10" style="0" width="11.6428571428571"/>
  </cols>
  <sheetData>
    <row r="1" customFormat="false" ht="12.8" hidden="false" customHeight="false" outlineLevel="0" collapsed="false">
      <c r="A1" s="0" t="n">
        <v>0.87</v>
      </c>
      <c r="B1" s="0" t="n">
        <f aca="false">IF(AND($E$24&lt;=A1,A1&lt;=$E$25),1,0)</f>
        <v>1</v>
      </c>
      <c r="C1" s="0" t="n">
        <f aca="false">IF($E$29&lt;=A1,1,0)</f>
        <v>0</v>
      </c>
      <c r="E1" s="1" t="s">
        <v>0</v>
      </c>
      <c r="G1" s="0" t="n">
        <v>0.78</v>
      </c>
      <c r="H1" s="0" t="n">
        <v>0.78</v>
      </c>
      <c r="I1" s="0" t="n">
        <f aca="false" t="array" ref="I1:I10">FREQUENCY(A1:A50,H1:H10)</f>
        <v>0</v>
      </c>
    </row>
    <row r="2" customFormat="false" ht="12.8" hidden="false" customHeight="false" outlineLevel="0" collapsed="false">
      <c r="A2" s="0" t="n">
        <v>0.88</v>
      </c>
      <c r="B2" s="0" t="n">
        <f aca="false">IF(AND($E$24&lt;=A2,A2&lt;=$E$25),1,0)</f>
        <v>1</v>
      </c>
      <c r="C2" s="0" t="n">
        <f aca="false">IF($E$29&lt;=A2,1,0)</f>
        <v>0</v>
      </c>
      <c r="D2" s="0" t="s">
        <v>1</v>
      </c>
      <c r="E2" s="0" t="n">
        <f aca="false">AVERAGE($A$1:$A$50)</f>
        <v>0.8746</v>
      </c>
      <c r="G2" s="0" t="n">
        <v>0.96</v>
      </c>
      <c r="H2" s="0" t="n">
        <f aca="false">H1+0.02</f>
        <v>0.8</v>
      </c>
      <c r="I2" s="0" t="n">
        <v>1</v>
      </c>
    </row>
    <row r="3" customFormat="false" ht="12.8" hidden="false" customHeight="false" outlineLevel="0" collapsed="false">
      <c r="A3" s="0" t="n">
        <v>0.82</v>
      </c>
      <c r="B3" s="0" t="n">
        <f aca="false">IF(AND($E$24&lt;=A3,A3&lt;=$E$25),1,0)</f>
        <v>1</v>
      </c>
      <c r="C3" s="0" t="n">
        <f aca="false">IF($E$29&lt;=A3,1,0)</f>
        <v>0</v>
      </c>
      <c r="D3" s="0" t="s">
        <v>2</v>
      </c>
      <c r="E3" s="0" t="n">
        <f aca="false">SQRT(VAR($A$1:$A$50)/COUNT($A$1:$A$50))</f>
        <v>0.00503222270037033</v>
      </c>
      <c r="H3" s="0" t="n">
        <f aca="false">H2+0.02</f>
        <v>0.82</v>
      </c>
      <c r="I3" s="0" t="n">
        <v>3</v>
      </c>
    </row>
    <row r="4" customFormat="false" ht="12.8" hidden="false" customHeight="false" outlineLevel="0" collapsed="false">
      <c r="A4" s="0" t="n">
        <v>0.9</v>
      </c>
      <c r="B4" s="0" t="n">
        <f aca="false">IF(AND($E$24&lt;=A4,A4&lt;=$E$25),1,0)</f>
        <v>1</v>
      </c>
      <c r="C4" s="0" t="n">
        <f aca="false">IF($E$29&lt;=A4,1,0)</f>
        <v>0</v>
      </c>
      <c r="D4" s="0" t="s">
        <v>3</v>
      </c>
      <c r="E4" s="0" t="n">
        <f aca="false">MODE($A$1:$A$50)</f>
        <v>0.88</v>
      </c>
      <c r="H4" s="0" t="n">
        <f aca="false">H3+0.02</f>
        <v>0.84</v>
      </c>
      <c r="I4" s="0" t="n">
        <v>8</v>
      </c>
    </row>
    <row r="5" customFormat="false" ht="12.8" hidden="false" customHeight="false" outlineLevel="0" collapsed="false">
      <c r="A5" s="0" t="n">
        <v>0.9</v>
      </c>
      <c r="B5" s="0" t="n">
        <f aca="false">IF(AND($E$24&lt;=A5,A5&lt;=$E$25),1,0)</f>
        <v>1</v>
      </c>
      <c r="C5" s="0" t="n">
        <f aca="false">IF($E$29&lt;=A5,1,0)</f>
        <v>0</v>
      </c>
      <c r="D5" s="0" t="s">
        <v>4</v>
      </c>
      <c r="E5" s="0" t="n">
        <f aca="false">MEDIAN($A$1:$A$50)</f>
        <v>0.875</v>
      </c>
      <c r="H5" s="0" t="n">
        <f aca="false">H4+0.02</f>
        <v>0.86</v>
      </c>
      <c r="I5" s="0" t="n">
        <v>8</v>
      </c>
    </row>
    <row r="6" customFormat="false" ht="12.8" hidden="false" customHeight="false" outlineLevel="0" collapsed="false">
      <c r="A6" s="0" t="n">
        <v>0.84</v>
      </c>
      <c r="B6" s="0" t="n">
        <f aca="false">IF(AND($E$24&lt;=A6,A6&lt;=$E$25),1,0)</f>
        <v>1</v>
      </c>
      <c r="C6" s="0" t="n">
        <f aca="false">IF($E$29&lt;=A6,1,0)</f>
        <v>0</v>
      </c>
      <c r="D6" s="0" t="s">
        <v>5</v>
      </c>
      <c r="E6" s="0" t="n">
        <f aca="false">QUARTILE($A$1:$A$50, 1)</f>
        <v>0.85</v>
      </c>
      <c r="H6" s="0" t="n">
        <f aca="false">H5+0.02</f>
        <v>0.88</v>
      </c>
      <c r="I6" s="0" t="n">
        <v>12</v>
      </c>
    </row>
    <row r="7" customFormat="false" ht="12.8" hidden="false" customHeight="false" outlineLevel="0" collapsed="false">
      <c r="A7" s="0" t="n">
        <v>0.84</v>
      </c>
      <c r="B7" s="0" t="n">
        <f aca="false">IF(AND($E$24&lt;=A7,A7&lt;=$E$25),1,0)</f>
        <v>1</v>
      </c>
      <c r="C7" s="0" t="n">
        <f aca="false">IF($E$29&lt;=A7,1,0)</f>
        <v>0</v>
      </c>
      <c r="D7" s="0" t="s">
        <v>6</v>
      </c>
      <c r="E7" s="0" t="n">
        <f aca="false">QUARTILE($A$1:$A$50, 3)</f>
        <v>0.9</v>
      </c>
      <c r="H7" s="0" t="n">
        <f aca="false">H6+0.02</f>
        <v>0.9</v>
      </c>
      <c r="I7" s="0" t="n">
        <v>7</v>
      </c>
    </row>
    <row r="8" customFormat="false" ht="12.8" hidden="false" customHeight="false" outlineLevel="0" collapsed="false">
      <c r="A8" s="0" t="n">
        <v>0.91</v>
      </c>
      <c r="B8" s="0" t="n">
        <f aca="false">IF(AND($E$24&lt;=A8,A8&lt;=$E$25),1,0)</f>
        <v>1</v>
      </c>
      <c r="C8" s="0" t="n">
        <f aca="false">IF($E$29&lt;=A8,1,0)</f>
        <v>0</v>
      </c>
      <c r="D8" s="0" t="s">
        <v>7</v>
      </c>
      <c r="E8" s="0" t="n">
        <f aca="false">VAR($A$1:$A$50)</f>
        <v>0.00126616326530612</v>
      </c>
      <c r="H8" s="0" t="n">
        <f aca="false">H7+0.02</f>
        <v>0.92</v>
      </c>
      <c r="I8" s="0" t="n">
        <v>6</v>
      </c>
    </row>
    <row r="9" customFormat="false" ht="12.8" hidden="false" customHeight="false" outlineLevel="0" collapsed="false">
      <c r="A9" s="0" t="n">
        <v>0.94</v>
      </c>
      <c r="B9" s="0" t="n">
        <f aca="false">IF(AND($E$24&lt;=A9,A9&lt;=$E$25),1,0)</f>
        <v>1</v>
      </c>
      <c r="C9" s="0" t="n">
        <f aca="false">IF($E$29&lt;=A9,1,0)</f>
        <v>1</v>
      </c>
      <c r="D9" s="0" t="s">
        <v>8</v>
      </c>
      <c r="E9" s="0" t="n">
        <f aca="false">STDEV($A$1:$A$50)</f>
        <v>0.0355831879587274</v>
      </c>
      <c r="H9" s="0" t="n">
        <f aca="false">H8+0.02</f>
        <v>0.94</v>
      </c>
      <c r="I9" s="0" t="n">
        <v>4</v>
      </c>
    </row>
    <row r="10" customFormat="false" ht="12.8" hidden="false" customHeight="false" outlineLevel="0" collapsed="false">
      <c r="A10" s="0" t="n">
        <v>0.86</v>
      </c>
      <c r="B10" s="0" t="n">
        <f aca="false">IF(AND($E$24&lt;=A10,A10&lt;=$E$25),1,0)</f>
        <v>1</v>
      </c>
      <c r="C10" s="0" t="n">
        <f aca="false">IF($E$29&lt;=A10,1,0)</f>
        <v>0</v>
      </c>
      <c r="D10" s="0" t="s">
        <v>9</v>
      </c>
      <c r="E10" s="0" t="n">
        <f aca="false">KURT($A$1:$A$50)</f>
        <v>-0.361827470391636</v>
      </c>
      <c r="H10" s="0" t="n">
        <f aca="false">H9+0.02</f>
        <v>0.96</v>
      </c>
      <c r="I10" s="0" t="n">
        <v>1</v>
      </c>
    </row>
    <row r="11" customFormat="false" ht="12.8" hidden="false" customHeight="false" outlineLevel="0" collapsed="false">
      <c r="A11" s="0" t="n">
        <v>0.86</v>
      </c>
      <c r="B11" s="0" t="n">
        <f aca="false">IF(AND($E$24&lt;=A11,A11&lt;=$E$25),1,0)</f>
        <v>1</v>
      </c>
      <c r="C11" s="0" t="n">
        <f aca="false">IF($E$29&lt;=A11,1,0)</f>
        <v>0</v>
      </c>
      <c r="D11" s="0" t="s">
        <v>10</v>
      </c>
      <c r="E11" s="0" t="n">
        <f aca="false">SKEW($A$1:$A$50)</f>
        <v>-0.0302198877121876</v>
      </c>
    </row>
    <row r="12" customFormat="false" ht="12.8" hidden="false" customHeight="false" outlineLevel="0" collapsed="false">
      <c r="A12" s="0" t="n">
        <v>0.86</v>
      </c>
      <c r="B12" s="0" t="n">
        <f aca="false">IF(AND($E$24&lt;=A12,A12&lt;=$E$25),1,0)</f>
        <v>1</v>
      </c>
      <c r="C12" s="0" t="n">
        <f aca="false">IF($E$29&lt;=A12,1,0)</f>
        <v>0</v>
      </c>
      <c r="D12" s="0" t="s">
        <v>11</v>
      </c>
      <c r="E12" s="0" t="n">
        <f aca="false">MAX($A$1:$A$50)-MIN($A$1:$A$50)</f>
        <v>0.16</v>
      </c>
    </row>
    <row r="13" customFormat="false" ht="12.8" hidden="false" customHeight="false" outlineLevel="0" collapsed="false">
      <c r="A13" s="0" t="n">
        <v>0.88</v>
      </c>
      <c r="B13" s="0" t="n">
        <f aca="false">IF(AND($E$24&lt;=A13,A13&lt;=$E$25),1,0)</f>
        <v>1</v>
      </c>
      <c r="C13" s="0" t="n">
        <f aca="false">IF($E$29&lt;=A13,1,0)</f>
        <v>0</v>
      </c>
      <c r="D13" s="0" t="s">
        <v>12</v>
      </c>
      <c r="E13" s="0" t="n">
        <f aca="false">MIN($A$1:$A$50)</f>
        <v>0.79</v>
      </c>
    </row>
    <row r="14" customFormat="false" ht="12.8" hidden="false" customHeight="false" outlineLevel="0" collapsed="false">
      <c r="A14" s="0" t="n">
        <v>0.87</v>
      </c>
      <c r="B14" s="0" t="n">
        <f aca="false">IF(AND($E$24&lt;=A14,A14&lt;=$E$25),1,0)</f>
        <v>1</v>
      </c>
      <c r="C14" s="0" t="n">
        <f aca="false">IF($E$29&lt;=A14,1,0)</f>
        <v>0</v>
      </c>
      <c r="D14" s="0" t="s">
        <v>13</v>
      </c>
      <c r="E14" s="0" t="n">
        <f aca="false">MAX($A$1:$A$50)</f>
        <v>0.95</v>
      </c>
    </row>
    <row r="15" customFormat="false" ht="12.8" hidden="false" customHeight="false" outlineLevel="0" collapsed="false">
      <c r="A15" s="0" t="n">
        <v>0.89</v>
      </c>
      <c r="B15" s="0" t="n">
        <f aca="false">IF(AND($E$24&lt;=A15,A15&lt;=$E$25),1,0)</f>
        <v>1</v>
      </c>
      <c r="C15" s="0" t="n">
        <f aca="false">IF($E$29&lt;=A15,1,0)</f>
        <v>0</v>
      </c>
      <c r="D15" s="0" t="s">
        <v>14</v>
      </c>
      <c r="E15" s="0" t="n">
        <f aca="false">SUM($A$1:$A$50)</f>
        <v>43.73</v>
      </c>
    </row>
    <row r="16" customFormat="false" ht="12.8" hidden="false" customHeight="false" outlineLevel="0" collapsed="false">
      <c r="A16" s="0" t="n">
        <v>0.91</v>
      </c>
      <c r="B16" s="0" t="n">
        <f aca="false">IF(AND($E$24&lt;=A16,A16&lt;=$E$25),1,0)</f>
        <v>1</v>
      </c>
      <c r="C16" s="0" t="n">
        <f aca="false">IF($E$29&lt;=A16,1,0)</f>
        <v>0</v>
      </c>
      <c r="D16" s="0" t="s">
        <v>15</v>
      </c>
      <c r="E16" s="0" t="n">
        <f aca="false">COUNT($A$1:$A$50)</f>
        <v>50</v>
      </c>
    </row>
    <row r="17" customFormat="false" ht="12.8" hidden="false" customHeight="false" outlineLevel="0" collapsed="false">
      <c r="A17" s="0" t="n">
        <v>0.86</v>
      </c>
      <c r="B17" s="0" t="n">
        <f aca="false">IF(AND($E$24&lt;=A17,A17&lt;=$E$25),1,0)</f>
        <v>1</v>
      </c>
      <c r="C17" s="0" t="n">
        <f aca="false">IF($E$29&lt;=A17,1,0)</f>
        <v>0</v>
      </c>
    </row>
    <row r="18" customFormat="false" ht="12.8" hidden="false" customHeight="false" outlineLevel="0" collapsed="false">
      <c r="A18" s="0" t="n">
        <v>0.87</v>
      </c>
      <c r="B18" s="0" t="n">
        <f aca="false">IF(AND($E$24&lt;=A18,A18&lt;=$E$25),1,0)</f>
        <v>1</v>
      </c>
      <c r="C18" s="0" t="n">
        <f aca="false">IF($E$29&lt;=A18,1,0)</f>
        <v>0</v>
      </c>
    </row>
    <row r="19" customFormat="false" ht="12.8" hidden="false" customHeight="false" outlineLevel="0" collapsed="false">
      <c r="A19" s="0" t="n">
        <v>0.93</v>
      </c>
      <c r="B19" s="0" t="n">
        <f aca="false">IF(AND($E$24&lt;=A19,A19&lt;=$E$25),1,0)</f>
        <v>1</v>
      </c>
      <c r="C19" s="0" t="n">
        <f aca="false">IF($E$29&lt;=A19,1,0)</f>
        <v>1</v>
      </c>
    </row>
    <row r="20" customFormat="false" ht="12.8" hidden="false" customHeight="false" outlineLevel="0" collapsed="false">
      <c r="A20" s="0" t="n">
        <v>0.88</v>
      </c>
      <c r="B20" s="0" t="n">
        <f aca="false">IF(AND($E$24&lt;=A20,A20&lt;=$E$25),1,0)</f>
        <v>1</v>
      </c>
      <c r="C20" s="0" t="n">
        <f aca="false">IF($E$29&lt;=A20,1,0)</f>
        <v>0</v>
      </c>
    </row>
    <row r="21" customFormat="false" ht="12.8" hidden="false" customHeight="false" outlineLevel="0" collapsed="false">
      <c r="A21" s="0" t="n">
        <v>0.83</v>
      </c>
      <c r="B21" s="0" t="n">
        <f aca="false">IF(AND($E$24&lt;=A21,A21&lt;=$E$25),1,0)</f>
        <v>1</v>
      </c>
      <c r="C21" s="0" t="n">
        <f aca="false">IF($E$29&lt;=A21,1,0)</f>
        <v>0</v>
      </c>
    </row>
    <row r="22" customFormat="false" ht="12.8" hidden="false" customHeight="false" outlineLevel="0" collapsed="false">
      <c r="A22" s="0" t="n">
        <v>0.95</v>
      </c>
      <c r="B22" s="0" t="n">
        <f aca="false">IF(AND($E$24&lt;=A22,A22&lt;=$E$25),1,0)</f>
        <v>0</v>
      </c>
      <c r="C22" s="0" t="n">
        <f aca="false">IF($E$29&lt;=A22,1,0)</f>
        <v>1</v>
      </c>
      <c r="D22" s="0" t="s">
        <v>16</v>
      </c>
      <c r="E22" s="0" t="n">
        <f aca="false">ROUND(E9,3)</f>
        <v>0.036</v>
      </c>
    </row>
    <row r="23" customFormat="false" ht="12.8" hidden="false" customHeight="false" outlineLevel="0" collapsed="false">
      <c r="A23" s="0" t="n">
        <v>0.87</v>
      </c>
      <c r="B23" s="0" t="n">
        <f aca="false">IF(AND($E$24&lt;=A23,A23&lt;=$E$25),1,0)</f>
        <v>1</v>
      </c>
      <c r="C23" s="0" t="n">
        <f aca="false">IF($E$29&lt;=A23,1,0)</f>
        <v>0</v>
      </c>
      <c r="D23" s="0" t="s">
        <v>17</v>
      </c>
    </row>
    <row r="24" customFormat="false" ht="12.8" hidden="false" customHeight="false" outlineLevel="0" collapsed="false">
      <c r="A24" s="0" t="n">
        <v>0.93</v>
      </c>
      <c r="B24" s="0" t="n">
        <f aca="false">IF(AND($E$24&lt;=A24,A24&lt;=$E$25),1,0)</f>
        <v>1</v>
      </c>
      <c r="C24" s="0" t="n">
        <f aca="false">IF($E$29&lt;=A24,1,0)</f>
        <v>1</v>
      </c>
      <c r="D24" s="0" t="s">
        <v>18</v>
      </c>
      <c r="E24" s="0" t="n">
        <v>0.803</v>
      </c>
    </row>
    <row r="25" customFormat="false" ht="12.8" hidden="false" customHeight="false" outlineLevel="0" collapsed="false">
      <c r="A25" s="0" t="n">
        <v>0.91</v>
      </c>
      <c r="B25" s="0" t="n">
        <f aca="false">IF(AND($E$24&lt;=A25,A25&lt;=$E$25),1,0)</f>
        <v>1</v>
      </c>
      <c r="C25" s="0" t="n">
        <f aca="false">IF($E$29&lt;=A25,1,0)</f>
        <v>0</v>
      </c>
      <c r="D25" s="0" t="s">
        <v>19</v>
      </c>
      <c r="E25" s="0" t="n">
        <v>0.947</v>
      </c>
    </row>
    <row r="26" customFormat="false" ht="12.8" hidden="false" customHeight="false" outlineLevel="0" collapsed="false">
      <c r="A26" s="0" t="n">
        <v>0.85</v>
      </c>
      <c r="B26" s="0" t="n">
        <f aca="false">IF(AND($E$24&lt;=A26,A26&lt;=$E$25),1,0)</f>
        <v>1</v>
      </c>
      <c r="C26" s="0" t="n">
        <f aca="false">IF($E$29&lt;=A26,1,0)</f>
        <v>0</v>
      </c>
      <c r="D26" s="0" t="s">
        <v>20</v>
      </c>
      <c r="E26" s="0" t="n">
        <f aca="false">_xlfn.NORM.DIST(E25,$E$2,$E$9,1)-_xlfn.NORM.DIST(E24,$E$2,$E$9,1)</f>
        <v>0.95695773592598</v>
      </c>
    </row>
    <row r="27" customFormat="false" ht="12.8" hidden="false" customHeight="false" outlineLevel="0" collapsed="false">
      <c r="A27" s="0" t="n">
        <v>0.91</v>
      </c>
      <c r="B27" s="0" t="n">
        <f aca="false">IF(AND($E$24&lt;=A27,A27&lt;=$E$25),1,0)</f>
        <v>1</v>
      </c>
      <c r="C27" s="0" t="n">
        <f aca="false">IF($E$29&lt;=A27,1,0)</f>
        <v>0</v>
      </c>
      <c r="D27" s="0" t="s">
        <v>21</v>
      </c>
      <c r="E27" s="0" t="n">
        <f aca="false">AVERAGE(B1:B50)</f>
        <v>0.96</v>
      </c>
    </row>
    <row r="28" customFormat="false" ht="12.8" hidden="false" customHeight="false" outlineLevel="0" collapsed="false">
      <c r="A28" s="0" t="n">
        <v>0.91</v>
      </c>
      <c r="B28" s="0" t="n">
        <f aca="false">IF(AND($E$24&lt;=A28,A28&lt;=$E$25),1,0)</f>
        <v>1</v>
      </c>
      <c r="C28" s="0" t="n">
        <f aca="false">IF($E$29&lt;=A28,1,0)</f>
        <v>0</v>
      </c>
    </row>
    <row r="29" customFormat="false" ht="12.8" hidden="false" customHeight="false" outlineLevel="0" collapsed="false">
      <c r="A29" s="0" t="n">
        <v>0.86</v>
      </c>
      <c r="B29" s="0" t="n">
        <f aca="false">IF(AND($E$24&lt;=A29,A29&lt;=$E$25),1,0)</f>
        <v>1</v>
      </c>
      <c r="C29" s="0" t="n">
        <f aca="false">IF($E$29&lt;=A29,1,0)</f>
        <v>0</v>
      </c>
      <c r="D29" s="0" t="s">
        <v>18</v>
      </c>
      <c r="E29" s="0" t="n">
        <v>0.911</v>
      </c>
    </row>
    <row r="30" customFormat="false" ht="12.8" hidden="false" customHeight="false" outlineLevel="0" collapsed="false">
      <c r="A30" s="0" t="n">
        <v>0.89</v>
      </c>
      <c r="B30" s="0" t="n">
        <f aca="false">IF(AND($E$24&lt;=A30,A30&lt;=$E$25),1,0)</f>
        <v>1</v>
      </c>
      <c r="C30" s="0" t="n">
        <f aca="false">IF($E$29&lt;=A30,1,0)</f>
        <v>0</v>
      </c>
      <c r="D30" s="0" t="s">
        <v>19</v>
      </c>
      <c r="E30" s="0" t="n">
        <v>5</v>
      </c>
    </row>
    <row r="31" customFormat="false" ht="12.8" hidden="false" customHeight="false" outlineLevel="0" collapsed="false">
      <c r="A31" s="0" t="n">
        <v>0.87</v>
      </c>
      <c r="B31" s="0" t="n">
        <f aca="false">IF(AND($E$24&lt;=A31,A31&lt;=$E$25),1,0)</f>
        <v>1</v>
      </c>
      <c r="C31" s="0" t="n">
        <f aca="false">IF($E$29&lt;=A31,1,0)</f>
        <v>0</v>
      </c>
      <c r="D31" s="0" t="s">
        <v>20</v>
      </c>
      <c r="E31" s="0" t="n">
        <f aca="false">_xlfn.NORM.DIST(E30,$E$2,$E$9,1)-_xlfn.NORM.DIST(E29,$E$2,$E$9,1)</f>
        <v>0.153164561693904</v>
      </c>
      <c r="F31" s="0" t="n">
        <f aca="false">1-_xlfn.NORM.DIST(E29,E2,E9,1)</f>
        <v>0.153164561693904</v>
      </c>
    </row>
    <row r="32" customFormat="false" ht="12.8" hidden="false" customHeight="false" outlineLevel="0" collapsed="false">
      <c r="A32" s="0" t="n">
        <v>0.84</v>
      </c>
      <c r="B32" s="0" t="n">
        <f aca="false">IF(AND($E$24&lt;=A32,A32&lt;=$E$25),1,0)</f>
        <v>1</v>
      </c>
      <c r="C32" s="0" t="n">
        <f aca="false">IF($E$29&lt;=A32,1,0)</f>
        <v>0</v>
      </c>
      <c r="D32" s="0" t="s">
        <v>21</v>
      </c>
      <c r="E32" s="0" t="n">
        <f aca="false">AVERAGE(C1:C50)</f>
        <v>0.12</v>
      </c>
    </row>
    <row r="33" customFormat="false" ht="12.8" hidden="false" customHeight="false" outlineLevel="0" collapsed="false">
      <c r="A33" s="0" t="n">
        <v>0.88</v>
      </c>
      <c r="B33" s="0" t="n">
        <f aca="false">IF(AND($E$24&lt;=A33,A33&lt;=$E$25),1,0)</f>
        <v>1</v>
      </c>
      <c r="C33" s="0" t="n">
        <f aca="false">IF($E$29&lt;=A33,1,0)</f>
        <v>0</v>
      </c>
    </row>
    <row r="34" customFormat="false" ht="12.8" hidden="false" customHeight="false" outlineLevel="0" collapsed="false">
      <c r="A34" s="0" t="n">
        <v>0.88</v>
      </c>
      <c r="B34" s="0" t="n">
        <f aca="false">IF(AND($E$24&lt;=A34,A34&lt;=$E$25),1,0)</f>
        <v>1</v>
      </c>
      <c r="C34" s="0" t="n">
        <f aca="false">IF($E$29&lt;=A34,1,0)</f>
        <v>0</v>
      </c>
    </row>
    <row r="35" customFormat="false" ht="12.8" hidden="false" customHeight="false" outlineLevel="0" collapsed="false">
      <c r="A35" s="0" t="n">
        <v>0.89</v>
      </c>
      <c r="B35" s="0" t="n">
        <f aca="false">IF(AND($E$24&lt;=A35,A35&lt;=$E$25),1,0)</f>
        <v>1</v>
      </c>
      <c r="C35" s="0" t="n">
        <f aca="false">IF($E$29&lt;=A35,1,0)</f>
        <v>0</v>
      </c>
    </row>
    <row r="36" customFormat="false" ht="12.8" hidden="false" customHeight="false" outlineLevel="0" collapsed="false">
      <c r="A36" s="0" t="n">
        <v>0.79</v>
      </c>
      <c r="B36" s="0" t="n">
        <f aca="false">IF(AND($E$24&lt;=A36,A36&lt;=$E$25),1,0)</f>
        <v>0</v>
      </c>
      <c r="C36" s="0" t="n">
        <f aca="false">IF($E$29&lt;=A36,1,0)</f>
        <v>0</v>
      </c>
    </row>
    <row r="37" customFormat="false" ht="12.8" hidden="false" customHeight="false" outlineLevel="0" collapsed="false">
      <c r="A37" s="0" t="n">
        <v>0.82</v>
      </c>
      <c r="B37" s="0" t="n">
        <f aca="false">IF(AND($E$24&lt;=A37,A37&lt;=$E$25),1,0)</f>
        <v>1</v>
      </c>
      <c r="C37" s="0" t="n">
        <f aca="false">IF($E$29&lt;=A37,1,0)</f>
        <v>0</v>
      </c>
    </row>
    <row r="38" customFormat="false" ht="12.8" hidden="false" customHeight="false" outlineLevel="0" collapsed="false">
      <c r="A38" s="0" t="n">
        <v>0.83</v>
      </c>
      <c r="B38" s="0" t="n">
        <f aca="false">IF(AND($E$24&lt;=A38,A38&lt;=$E$25),1,0)</f>
        <v>1</v>
      </c>
      <c r="C38" s="0" t="n">
        <f aca="false">IF($E$29&lt;=A38,1,0)</f>
        <v>0</v>
      </c>
    </row>
    <row r="39" customFormat="false" ht="12.8" hidden="false" customHeight="false" outlineLevel="0" collapsed="false">
      <c r="A39" s="0" t="n">
        <v>0.9</v>
      </c>
      <c r="B39" s="0" t="n">
        <f aca="false">IF(AND($E$24&lt;=A39,A39&lt;=$E$25),1,0)</f>
        <v>1</v>
      </c>
      <c r="C39" s="0" t="n">
        <f aca="false">IF($E$29&lt;=A39,1,0)</f>
        <v>0</v>
      </c>
    </row>
    <row r="40" customFormat="false" ht="12.8" hidden="false" customHeight="false" outlineLevel="0" collapsed="false">
      <c r="A40" s="0" t="n">
        <v>0.88</v>
      </c>
      <c r="B40" s="0" t="n">
        <f aca="false">IF(AND($E$24&lt;=A40,A40&lt;=$E$25),1,0)</f>
        <v>1</v>
      </c>
      <c r="C40" s="0" t="n">
        <f aca="false">IF($E$29&lt;=A40,1,0)</f>
        <v>0</v>
      </c>
    </row>
    <row r="41" customFormat="false" ht="12.8" hidden="false" customHeight="false" outlineLevel="0" collapsed="false">
      <c r="A41" s="0" t="n">
        <v>0.84</v>
      </c>
      <c r="B41" s="0" t="n">
        <f aca="false">IF(AND($E$24&lt;=A41,A41&lt;=$E$25),1,0)</f>
        <v>1</v>
      </c>
      <c r="C41" s="0" t="n">
        <f aca="false">IF($E$29&lt;=A41,1,0)</f>
        <v>0</v>
      </c>
    </row>
    <row r="42" customFormat="false" ht="12.8" hidden="false" customHeight="false" outlineLevel="0" collapsed="false">
      <c r="A42" s="0" t="n">
        <v>0.93</v>
      </c>
      <c r="B42" s="0" t="n">
        <f aca="false">IF(AND($E$24&lt;=A42,A42&lt;=$E$25),1,0)</f>
        <v>1</v>
      </c>
      <c r="C42" s="0" t="n">
        <f aca="false">IF($E$29&lt;=A42,1,0)</f>
        <v>1</v>
      </c>
    </row>
    <row r="43" customFormat="false" ht="12.8" hidden="false" customHeight="false" outlineLevel="0" collapsed="false">
      <c r="A43" s="0" t="n">
        <v>0.81</v>
      </c>
      <c r="B43" s="0" t="n">
        <f aca="false">IF(AND($E$24&lt;=A43,A43&lt;=$E$25),1,0)</f>
        <v>1</v>
      </c>
      <c r="C43" s="0" t="n">
        <f aca="false">IF($E$29&lt;=A43,1,0)</f>
        <v>0</v>
      </c>
    </row>
    <row r="44" customFormat="false" ht="12.8" hidden="false" customHeight="false" outlineLevel="0" collapsed="false">
      <c r="A44" s="0" t="n">
        <v>0.9</v>
      </c>
      <c r="B44" s="0" t="n">
        <f aca="false">IF(AND($E$24&lt;=A44,A44&lt;=$E$25),1,0)</f>
        <v>1</v>
      </c>
      <c r="C44" s="0" t="n">
        <f aca="false">IF($E$29&lt;=A44,1,0)</f>
        <v>0</v>
      </c>
    </row>
    <row r="45" customFormat="false" ht="12.8" hidden="false" customHeight="false" outlineLevel="0" collapsed="false">
      <c r="A45" s="0" t="n">
        <v>0.88</v>
      </c>
      <c r="B45" s="0" t="n">
        <f aca="false">IF(AND($E$24&lt;=A45,A45&lt;=$E$25),1,0)</f>
        <v>1</v>
      </c>
      <c r="C45" s="0" t="n">
        <f aca="false">IF($E$29&lt;=A45,1,0)</f>
        <v>0</v>
      </c>
    </row>
    <row r="46" customFormat="false" ht="12.8" hidden="false" customHeight="false" outlineLevel="0" collapsed="false">
      <c r="A46" s="0" t="n">
        <v>0.92</v>
      </c>
      <c r="B46" s="0" t="n">
        <f aca="false">IF(AND($E$24&lt;=A46,A46&lt;=$E$25),1,0)</f>
        <v>1</v>
      </c>
      <c r="C46" s="0" t="n">
        <f aca="false">IF($E$29&lt;=A46,1,0)</f>
        <v>1</v>
      </c>
    </row>
    <row r="47" customFormat="false" ht="12.8" hidden="false" customHeight="false" outlineLevel="0" collapsed="false">
      <c r="A47" s="0" t="n">
        <v>0.85</v>
      </c>
      <c r="B47" s="0" t="n">
        <f aca="false">IF(AND($E$24&lt;=A47,A47&lt;=$E$25),1,0)</f>
        <v>1</v>
      </c>
      <c r="C47" s="0" t="n">
        <f aca="false">IF($E$29&lt;=A47,1,0)</f>
        <v>0</v>
      </c>
    </row>
    <row r="48" customFormat="false" ht="12.8" hidden="false" customHeight="false" outlineLevel="0" collapsed="false">
      <c r="A48" s="0" t="n">
        <v>0.84</v>
      </c>
      <c r="B48" s="0" t="n">
        <f aca="false">IF(AND($E$24&lt;=A48,A48&lt;=$E$25),1,0)</f>
        <v>1</v>
      </c>
      <c r="C48" s="0" t="n">
        <f aca="false">IF($E$29&lt;=A48,1,0)</f>
        <v>0</v>
      </c>
    </row>
    <row r="49" customFormat="false" ht="12.8" hidden="false" customHeight="false" outlineLevel="0" collapsed="false">
      <c r="A49" s="0" t="n">
        <v>0.84</v>
      </c>
      <c r="B49" s="0" t="n">
        <f aca="false">IF(AND($E$24&lt;=A49,A49&lt;=$E$25),1,0)</f>
        <v>1</v>
      </c>
      <c r="C49" s="0" t="n">
        <f aca="false">IF($E$29&lt;=A49,1,0)</f>
        <v>0</v>
      </c>
    </row>
    <row r="50" customFormat="false" ht="12.8" hidden="false" customHeight="false" outlineLevel="0" collapsed="false">
      <c r="A50" s="0" t="n">
        <v>0.86</v>
      </c>
      <c r="B50" s="0" t="n">
        <f aca="false">IF(AND($E$24&lt;=A50,A50&lt;=$E$25),1,0)</f>
        <v>1</v>
      </c>
      <c r="C50" s="0" t="n">
        <f aca="false">IF($E$29&lt;=A50,1,0)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2021-05-13T19:58:48Z</dcterms:created>
  <dc:creator/>
  <dc:description/>
  <dc:language>en-US</dc:language>
  <cp:lastModifiedBy/>
  <dcterms:modified xsi:type="dcterms:W3CDTF">2021-05-13T21:30:01Z</dcterms:modified>
  <cp:revision>5</cp:revision>
  <dc:subject/>
  <dc:title/>
</cp:coreProperties>
</file>