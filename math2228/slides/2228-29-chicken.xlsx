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<sst xmlns="http://schemas.openxmlformats.org/spreadsheetml/2006/main" count="9" uniqueCount="9">
  <si>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mean</t>
  </si>
  <si>
    <t xml:space="preserve">( b )</t>
  </si>
  <si>
    <t xml:space="preserve">st dev</t>
  </si>
  <si>
    <t xml:space="preserve">( c )</t>
  </si>
  <si>
    <t xml:space="preserve">mean-4 st dev</t>
  </si>
  <si>
    <t xml:space="preserve">( d )</t>
  </si>
  <si>
    <t xml:space="preserve">mean+4 st dev</t>
  </si>
  <si>
    <t xml:space="preserve">( e )</t>
  </si>
  <si>
    <t xml:space="preserve">Low probability, "unusual" event.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</si>
</sst>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Chicken incubation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Sheet1!$A$6:$A$70</c:f>
              <c:numCache>
                <c:formatCode>General</c:formatCode>
                <c:ptCount val="65"/>
                <c:pt idx="0">
                  <c:v>17</c:v>
                </c:pt>
                <c:pt idx="1">
                  <c:v>17.125</c:v>
                </c:pt>
                <c:pt idx="2">
                  <c:v>17.25</c:v>
                </c:pt>
                <c:pt idx="3">
                  <c:v>17.375</c:v>
                </c:pt>
                <c:pt idx="4">
                  <c:v>17.5</c:v>
                </c:pt>
                <c:pt idx="5">
                  <c:v>17.625</c:v>
                </c:pt>
                <c:pt idx="6">
                  <c:v>17.75</c:v>
                </c:pt>
                <c:pt idx="7">
                  <c:v>17.875</c:v>
                </c:pt>
                <c:pt idx="8">
                  <c:v>18</c:v>
                </c:pt>
                <c:pt idx="9">
                  <c:v>18.125</c:v>
                </c:pt>
                <c:pt idx="10">
                  <c:v>18.25</c:v>
                </c:pt>
                <c:pt idx="11">
                  <c:v>18.375</c:v>
                </c:pt>
                <c:pt idx="12">
                  <c:v>18.5</c:v>
                </c:pt>
                <c:pt idx="13">
                  <c:v>18.625</c:v>
                </c:pt>
                <c:pt idx="14">
                  <c:v>18.75</c:v>
                </c:pt>
                <c:pt idx="15">
                  <c:v>18.875</c:v>
                </c:pt>
                <c:pt idx="16">
                  <c:v>19</c:v>
                </c:pt>
                <c:pt idx="17">
                  <c:v>19.125</c:v>
                </c:pt>
                <c:pt idx="18">
                  <c:v>19.25</c:v>
                </c:pt>
                <c:pt idx="19">
                  <c:v>19.375</c:v>
                </c:pt>
                <c:pt idx="20">
                  <c:v>19.5</c:v>
                </c:pt>
                <c:pt idx="21">
                  <c:v>19.625</c:v>
                </c:pt>
                <c:pt idx="22">
                  <c:v>19.75</c:v>
                </c:pt>
                <c:pt idx="23">
                  <c:v>19.875</c:v>
                </c:pt>
                <c:pt idx="24">
                  <c:v>20</c:v>
                </c:pt>
                <c:pt idx="25">
                  <c:v>20.125</c:v>
                </c:pt>
                <c:pt idx="26">
                  <c:v>20.25</c:v>
                </c:pt>
                <c:pt idx="27">
                  <c:v>20.375</c:v>
                </c:pt>
                <c:pt idx="28">
                  <c:v>20.5</c:v>
                </c:pt>
                <c:pt idx="29">
                  <c:v>20.625</c:v>
                </c:pt>
                <c:pt idx="30">
                  <c:v>20.75</c:v>
                </c:pt>
                <c:pt idx="31">
                  <c:v>20.875</c:v>
                </c:pt>
                <c:pt idx="32">
                  <c:v>21</c:v>
                </c:pt>
                <c:pt idx="33">
                  <c:v>21.125</c:v>
                </c:pt>
                <c:pt idx="34">
                  <c:v>21.25</c:v>
                </c:pt>
                <c:pt idx="35">
                  <c:v>21.375</c:v>
                </c:pt>
                <c:pt idx="36">
                  <c:v>21.5</c:v>
                </c:pt>
                <c:pt idx="37">
                  <c:v>21.625</c:v>
                </c:pt>
                <c:pt idx="38">
                  <c:v>21.75</c:v>
                </c:pt>
                <c:pt idx="39">
                  <c:v>21.875</c:v>
                </c:pt>
                <c:pt idx="40">
                  <c:v>22</c:v>
                </c:pt>
                <c:pt idx="41">
                  <c:v>22.125</c:v>
                </c:pt>
                <c:pt idx="42">
                  <c:v>22.25</c:v>
                </c:pt>
                <c:pt idx="43">
                  <c:v>22.375</c:v>
                </c:pt>
                <c:pt idx="44">
                  <c:v>22.5</c:v>
                </c:pt>
                <c:pt idx="45">
                  <c:v>22.625</c:v>
                </c:pt>
                <c:pt idx="46">
                  <c:v>22.75</c:v>
                </c:pt>
                <c:pt idx="47">
                  <c:v>22.875</c:v>
                </c:pt>
                <c:pt idx="48">
                  <c:v>23</c:v>
                </c:pt>
                <c:pt idx="49">
                  <c:v>23.125</c:v>
                </c:pt>
                <c:pt idx="50">
                  <c:v>23.25</c:v>
                </c:pt>
                <c:pt idx="51">
                  <c:v>23.375</c:v>
                </c:pt>
                <c:pt idx="52">
                  <c:v>23.5</c:v>
                </c:pt>
                <c:pt idx="53">
                  <c:v>23.625</c:v>
                </c:pt>
                <c:pt idx="54">
                  <c:v>23.75</c:v>
                </c:pt>
                <c:pt idx="55">
                  <c:v>23.875</c:v>
                </c:pt>
                <c:pt idx="56">
                  <c:v>24</c:v>
                </c:pt>
                <c:pt idx="57">
                  <c:v>24.125</c:v>
                </c:pt>
                <c:pt idx="58">
                  <c:v>24.25</c:v>
                </c:pt>
                <c:pt idx="59">
                  <c:v>24.375</c:v>
                </c:pt>
                <c:pt idx="60">
                  <c:v>24.5</c:v>
                </c:pt>
                <c:pt idx="61">
                  <c:v>24.625</c:v>
                </c:pt>
                <c:pt idx="62">
                  <c:v>24.75</c:v>
                </c:pt>
                <c:pt idx="63">
                  <c:v>24.875</c:v>
                </c:pt>
                <c:pt idx="64">
                  <c:v>25</c:v>
                </c:pt>
              </c:numCache>
            </c:numRef>
          </c:xVal>
          <c:yVal>
            <c:numRef>
              <c:f>Sheet1!$B$6:$B$70</c:f>
              <c:numCache>
                <c:formatCode>General</c:formatCode>
                <c:ptCount val="65"/>
                <c:pt idx="0">
                  <c:v>0.000133830225764885</c:v>
                </c:pt>
                <c:pt idx="1">
                  <c:v>0.000218931637764612</c:v>
                </c:pt>
                <c:pt idx="2">
                  <c:v>0.000352595682367445</c:v>
                </c:pt>
                <c:pt idx="3">
                  <c:v>0.000559061522232165</c:v>
                </c:pt>
                <c:pt idx="4">
                  <c:v>0.00087268269504576</c:v>
                </c:pt>
                <c:pt idx="5">
                  <c:v>0.00134111887349038</c:v>
                </c:pt>
                <c:pt idx="6">
                  <c:v>0.00202904805729977</c:v>
                </c:pt>
                <c:pt idx="7">
                  <c:v>0.00302225803519876</c:v>
                </c:pt>
                <c:pt idx="8">
                  <c:v>0.00443184841193801</c:v>
                </c:pt>
                <c:pt idx="9">
                  <c:v>0.00639812031072356</c:v>
                </c:pt>
                <c:pt idx="10">
                  <c:v>0.00909356250159105</c:v>
                </c:pt>
                <c:pt idx="11">
                  <c:v>0.0127241815968314</c:v>
                </c:pt>
                <c:pt idx="12">
                  <c:v>0.0175283004935685</c:v>
                </c:pt>
                <c:pt idx="13">
                  <c:v>0.0237719008299138</c:v>
                </c:pt>
                <c:pt idx="14">
                  <c:v>0.0317396518356674</c:v>
                </c:pt>
                <c:pt idx="15">
                  <c:v>0.0417209852563386</c:v>
                </c:pt>
                <c:pt idx="16">
                  <c:v>0.0539909665131881</c:v>
                </c:pt>
                <c:pt idx="17">
                  <c:v>0.0687862758266919</c:v>
                </c:pt>
                <c:pt idx="18">
                  <c:v>0.0862773188265115</c:v>
                </c:pt>
                <c:pt idx="19">
                  <c:v>0.106538268130585</c:v>
                </c:pt>
                <c:pt idx="20">
                  <c:v>0.129517595665892</c:v>
                </c:pt>
                <c:pt idx="21">
                  <c:v>0.155012265458293</c:v>
                </c:pt>
                <c:pt idx="22">
                  <c:v>0.182649085389022</c:v>
                </c:pt>
                <c:pt idx="23">
                  <c:v>0.211876645775699</c:v>
                </c:pt>
                <c:pt idx="24">
                  <c:v>0.241970724519143</c:v>
                </c:pt>
                <c:pt idx="25">
                  <c:v>0.272054998378543</c:v>
                </c:pt>
                <c:pt idx="26">
                  <c:v>0.301137432154804</c:v>
                </c:pt>
                <c:pt idx="27">
                  <c:v>0.328160968550375</c:v>
                </c:pt>
                <c:pt idx="28">
                  <c:v>0.3520653267643</c:v>
                </c:pt>
                <c:pt idx="29">
                  <c:v>0.371855093869769</c:v>
                </c:pt>
                <c:pt idx="30">
                  <c:v>0.386668116802849</c:v>
                </c:pt>
                <c:pt idx="31">
                  <c:v>0.39583768694475</c:v>
                </c:pt>
                <c:pt idx="32">
                  <c:v>0.398942280401433</c:v>
                </c:pt>
                <c:pt idx="33">
                  <c:v>0.39583768694475</c:v>
                </c:pt>
                <c:pt idx="34">
                  <c:v>0.386668116802849</c:v>
                </c:pt>
                <c:pt idx="35">
                  <c:v>0.371855093869769</c:v>
                </c:pt>
                <c:pt idx="36">
                  <c:v>0.3520653267643</c:v>
                </c:pt>
                <c:pt idx="37">
                  <c:v>0.328160968550375</c:v>
                </c:pt>
                <c:pt idx="38">
                  <c:v>0.301137432154804</c:v>
                </c:pt>
                <c:pt idx="39">
                  <c:v>0.272054998378543</c:v>
                </c:pt>
                <c:pt idx="40">
                  <c:v>0.241970724519143</c:v>
                </c:pt>
                <c:pt idx="41">
                  <c:v>0.211876645775699</c:v>
                </c:pt>
                <c:pt idx="42">
                  <c:v>0.182649085389022</c:v>
                </c:pt>
                <c:pt idx="43">
                  <c:v>0.155012265458293</c:v>
                </c:pt>
                <c:pt idx="44">
                  <c:v>0.129517595665892</c:v>
                </c:pt>
                <c:pt idx="45">
                  <c:v>0.106538268130585</c:v>
                </c:pt>
                <c:pt idx="46">
                  <c:v>0.0862773188265115</c:v>
                </c:pt>
                <c:pt idx="47">
                  <c:v>0.0687862758266919</c:v>
                </c:pt>
                <c:pt idx="48">
                  <c:v>0.0539909665131881</c:v>
                </c:pt>
                <c:pt idx="49">
                  <c:v>0.0417209852563386</c:v>
                </c:pt>
                <c:pt idx="50">
                  <c:v>0.0317396518356674</c:v>
                </c:pt>
                <c:pt idx="51">
                  <c:v>0.0237719008299138</c:v>
                </c:pt>
                <c:pt idx="52">
                  <c:v>0.0175283004935685</c:v>
                </c:pt>
                <c:pt idx="53">
                  <c:v>0.0127241815968314</c:v>
                </c:pt>
                <c:pt idx="54">
                  <c:v>0.00909356250159105</c:v>
                </c:pt>
                <c:pt idx="55">
                  <c:v>0.00639812031072356</c:v>
                </c:pt>
                <c:pt idx="56">
                  <c:v>0.00443184841193801</c:v>
                </c:pt>
                <c:pt idx="57">
                  <c:v>0.00302225803519876</c:v>
                </c:pt>
                <c:pt idx="58">
                  <c:v>0.00202904805729977</c:v>
                </c:pt>
                <c:pt idx="59">
                  <c:v>0.00134111887349038</c:v>
                </c:pt>
                <c:pt idx="60">
                  <c:v>0.00087268269504576</c:v>
                </c:pt>
                <c:pt idx="61">
                  <c:v>0.000559061522232165</c:v>
                </c:pt>
                <c:pt idx="62">
                  <c:v>0.000352595682367445</c:v>
                </c:pt>
                <c:pt idx="63">
                  <c:v>0.000218931637764612</c:v>
                </c:pt>
                <c:pt idx="64">
                  <c:v>0.000133830225764885</c:v>
                </c:pt>
              </c:numCache>
            </c:numRef>
          </c:yVal>
          <c:smooth val="0"/>
        </c:ser>
        <c:axId val="36278853"/>
        <c:axId val="48137879"/>
      </c:scatterChart>
      <c:valAx>
        <c:axId val="36278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(day)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8137879"/>
        <c:crosses val="autoZero"/>
        <c:crossBetween val="midCat"/>
      </c:valAx>
      <c:valAx>
        <c:axId val="4813787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627885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662400</xdr:colOff>
      <xdr:row>5</xdr:row>
      <xdr:rowOff>6480</xdr:rowOff>
    </xdr:from>
    <xdr:to>
      <xdr:col>7</xdr:col>
      <xdr:colOff>528840</xdr:colOff>
      <xdr:row>24</xdr:row>
      <xdr:rowOff>157320</xdr:rowOff>
    </xdr:to>
    <xdr:graphicFrame>
      <xdr:nvGraphicFramePr>
        <xdr:cNvPr id="0" name=""/>
        <xdr:cNvGraphicFramePr/>
      </xdr:nvGraphicFramePr>
      <xdr:xfrm>
        <a:off x="2444760" y="81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RowHeight="12.8"/>
  <cols>
    <col collapsed="false" hidden="false" max="1" min="1" style="0" width="13.7397959183673"/>
    <col collapsed="false" hidden="false" max="4" min="2" style="0" width="11.5204081632653"/>
    <col collapsed="false" hidden="false" max="5" min="5" style="0" width="37.4489795918367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n">
        <v>21</v>
      </c>
      <c r="D1" s="0" t="s">
        <v>1</v>
      </c>
      <c r="E1" s="0" t="str">
        <f aca="false">"norm.dist(20,"&amp;$B$1&amp;","&amp;$B$2&amp;",1)"</f>
        <v>norm.dist(20,21,1,1)</v>
      </c>
      <c r="F1" s="0" t="n">
        <f aca="false">_xlfn.NORM.DIST(20,$B$1,$B$2,1)</f>
        <v>0.158655253931457</v>
      </c>
    </row>
    <row r="2" customFormat="false" ht="12.8" hidden="false" customHeight="false" outlineLevel="0" collapsed="false">
      <c r="A2" s="0" t="s">
        <v>2</v>
      </c>
      <c r="B2" s="0" t="n">
        <v>1</v>
      </c>
      <c r="D2" s="0" t="s">
        <v>3</v>
      </c>
      <c r="E2" s="0" t="str">
        <f aca="false">"1-norm.dist(22,"&amp;$B$1&amp;","&amp;$B$2&amp;",1)"</f>
        <v>1-norm.dist(22,21,1,1)</v>
      </c>
      <c r="F2" s="0" t="n">
        <f aca="false">1-_xlfn.NORM.DIST(22,$B$1,$B$2,1)</f>
        <v>0.158655253931457</v>
      </c>
    </row>
    <row r="3" customFormat="false" ht="12.8" hidden="false" customHeight="false" outlineLevel="0" collapsed="false">
      <c r="A3" s="0" t="s">
        <v>4</v>
      </c>
      <c r="B3" s="0" t="n">
        <f aca="false">B1-4*B2</f>
        <v>17</v>
      </c>
      <c r="D3" s="0" t="s">
        <v>5</v>
      </c>
      <c r="E3" s="0" t="str">
        <f aca="false">"norm.dist(21,"&amp;B1&amp;","&amp;B2&amp;",1)-norm.dist(19,"&amp;B1&amp;","&amp;B2&amp;",1)"</f>
        <v>norm.dist(21,21,1,1)-norm.dist(19,21,1,1)</v>
      </c>
      <c r="F3" s="0" t="n">
        <f aca="false">_xlfn.NORM.DIST(21,B1,B2,1)-_xlfn.NORM.DIST(19,B1,B2,1)</f>
        <v>0.477249868051821</v>
      </c>
    </row>
    <row r="4" customFormat="false" ht="12.8" hidden="false" customHeight="false" outlineLevel="0" collapsed="false">
      <c r="A4" s="0" t="s">
        <v>6</v>
      </c>
      <c r="B4" s="0" t="n">
        <f aca="false">B1+4*B2</f>
        <v>25</v>
      </c>
      <c r="D4" s="0" t="s">
        <v>7</v>
      </c>
      <c r="E4" s="0" t="str">
        <f aca="false">"norm.dist(18,"&amp;$B$1&amp;","&amp;$B$2&amp;",1)"</f>
        <v>norm.dist(18,21,1,1)</v>
      </c>
      <c r="F4" s="0" t="n">
        <f aca="false">_xlfn.NORM.DIST(18,$B$1,$B$2,1)</f>
        <v>0.0013498980316301</v>
      </c>
      <c r="H4" s="0" t="s">
        <v>8</v>
      </c>
    </row>
    <row r="6" customFormat="false" ht="12.8" hidden="false" customHeight="false" outlineLevel="0" collapsed="false">
      <c r="A6" s="0" t="n">
        <f aca="false">B3</f>
        <v>17</v>
      </c>
      <c r="B6" s="0" t="n">
        <f aca="false">_xlfn.NORM.DIST(A6,$B$1,$B$2,0)</f>
        <v>0.000133830225764885</v>
      </c>
    </row>
    <row r="7" customFormat="false" ht="12.8" hidden="false" customHeight="false" outlineLevel="0" collapsed="false">
      <c r="A7" s="0" t="n">
        <f aca="false">A6+1/8</f>
        <v>17.125</v>
      </c>
      <c r="B7" s="0" t="n">
        <f aca="false">_xlfn.NORM.DIST(A7,$B$1,$B$2,0)</f>
        <v>0.000218931637764612</v>
      </c>
    </row>
    <row r="8" customFormat="false" ht="12.8" hidden="false" customHeight="false" outlineLevel="0" collapsed="false">
      <c r="A8" s="0" t="n">
        <f aca="false">A7+1/8</f>
        <v>17.25</v>
      </c>
      <c r="B8" s="0" t="n">
        <f aca="false">_xlfn.NORM.DIST(A8,$B$1,$B$2,0)</f>
        <v>0.000352595682367445</v>
      </c>
    </row>
    <row r="9" customFormat="false" ht="12.8" hidden="false" customHeight="false" outlineLevel="0" collapsed="false">
      <c r="A9" s="0" t="n">
        <f aca="false">A8+1/8</f>
        <v>17.375</v>
      </c>
      <c r="B9" s="0" t="n">
        <f aca="false">_xlfn.NORM.DIST(A9,$B$1,$B$2,0)</f>
        <v>0.000559061522232165</v>
      </c>
    </row>
    <row r="10" customFormat="false" ht="12.8" hidden="false" customHeight="false" outlineLevel="0" collapsed="false">
      <c r="A10" s="0" t="n">
        <f aca="false">A9+1/8</f>
        <v>17.5</v>
      </c>
      <c r="B10" s="0" t="n">
        <f aca="false">_xlfn.NORM.DIST(A10,$B$1,$B$2,0)</f>
        <v>0.00087268269504576</v>
      </c>
    </row>
    <row r="11" customFormat="false" ht="12.8" hidden="false" customHeight="false" outlineLevel="0" collapsed="false">
      <c r="A11" s="0" t="n">
        <f aca="false">A10+1/8</f>
        <v>17.625</v>
      </c>
      <c r="B11" s="0" t="n">
        <f aca="false">_xlfn.NORM.DIST(A11,$B$1,$B$2,0)</f>
        <v>0.00134111887349038</v>
      </c>
    </row>
    <row r="12" customFormat="false" ht="12.8" hidden="false" customHeight="false" outlineLevel="0" collapsed="false">
      <c r="A12" s="0" t="n">
        <f aca="false">A11+1/8</f>
        <v>17.75</v>
      </c>
      <c r="B12" s="0" t="n">
        <f aca="false">_xlfn.NORM.DIST(A12,$B$1,$B$2,0)</f>
        <v>0.00202904805729977</v>
      </c>
    </row>
    <row r="13" customFormat="false" ht="12.8" hidden="false" customHeight="false" outlineLevel="0" collapsed="false">
      <c r="A13" s="0" t="n">
        <f aca="false">A12+1/8</f>
        <v>17.875</v>
      </c>
      <c r="B13" s="0" t="n">
        <f aca="false">_xlfn.NORM.DIST(A13,$B$1,$B$2,0)</f>
        <v>0.00302225803519876</v>
      </c>
    </row>
    <row r="14" customFormat="false" ht="12.8" hidden="false" customHeight="false" outlineLevel="0" collapsed="false">
      <c r="A14" s="0" t="n">
        <f aca="false">A13+1/8</f>
        <v>18</v>
      </c>
      <c r="B14" s="0" t="n">
        <f aca="false">_xlfn.NORM.DIST(A14,$B$1,$B$2,0)</f>
        <v>0.00443184841193801</v>
      </c>
    </row>
    <row r="15" customFormat="false" ht="12.8" hidden="false" customHeight="false" outlineLevel="0" collapsed="false">
      <c r="A15" s="0" t="n">
        <f aca="false">A14+1/8</f>
        <v>18.125</v>
      </c>
      <c r="B15" s="0" t="n">
        <f aca="false">_xlfn.NORM.DIST(A15,$B$1,$B$2,0)</f>
        <v>0.00639812031072356</v>
      </c>
    </row>
    <row r="16" customFormat="false" ht="12.8" hidden="false" customHeight="false" outlineLevel="0" collapsed="false">
      <c r="A16" s="0" t="n">
        <f aca="false">A15+1/8</f>
        <v>18.25</v>
      </c>
      <c r="B16" s="0" t="n">
        <f aca="false">_xlfn.NORM.DIST(A16,$B$1,$B$2,0)</f>
        <v>0.00909356250159105</v>
      </c>
    </row>
    <row r="17" customFormat="false" ht="12.8" hidden="false" customHeight="false" outlineLevel="0" collapsed="false">
      <c r="A17" s="0" t="n">
        <f aca="false">A16+1/8</f>
        <v>18.375</v>
      </c>
      <c r="B17" s="0" t="n">
        <f aca="false">_xlfn.NORM.DIST(A17,$B$1,$B$2,0)</f>
        <v>0.0127241815968314</v>
      </c>
    </row>
    <row r="18" customFormat="false" ht="12.8" hidden="false" customHeight="false" outlineLevel="0" collapsed="false">
      <c r="A18" s="0" t="n">
        <f aca="false">A17+1/8</f>
        <v>18.5</v>
      </c>
      <c r="B18" s="0" t="n">
        <f aca="false">_xlfn.NORM.DIST(A18,$B$1,$B$2,0)</f>
        <v>0.0175283004935685</v>
      </c>
    </row>
    <row r="19" customFormat="false" ht="12.8" hidden="false" customHeight="false" outlineLevel="0" collapsed="false">
      <c r="A19" s="0" t="n">
        <f aca="false">A18+1/8</f>
        <v>18.625</v>
      </c>
      <c r="B19" s="0" t="n">
        <f aca="false">_xlfn.NORM.DIST(A19,$B$1,$B$2,0)</f>
        <v>0.0237719008299138</v>
      </c>
    </row>
    <row r="20" customFormat="false" ht="12.8" hidden="false" customHeight="false" outlineLevel="0" collapsed="false">
      <c r="A20" s="0" t="n">
        <f aca="false">A19+1/8</f>
        <v>18.75</v>
      </c>
      <c r="B20" s="0" t="n">
        <f aca="false">_xlfn.NORM.DIST(A20,$B$1,$B$2,0)</f>
        <v>0.0317396518356674</v>
      </c>
    </row>
    <row r="21" customFormat="false" ht="12.8" hidden="false" customHeight="false" outlineLevel="0" collapsed="false">
      <c r="A21" s="0" t="n">
        <f aca="false">A20+1/8</f>
        <v>18.875</v>
      </c>
      <c r="B21" s="0" t="n">
        <f aca="false">_xlfn.NORM.DIST(A21,$B$1,$B$2,0)</f>
        <v>0.0417209852563386</v>
      </c>
    </row>
    <row r="22" customFormat="false" ht="12.8" hidden="false" customHeight="false" outlineLevel="0" collapsed="false">
      <c r="A22" s="0" t="n">
        <f aca="false">A21+1/8</f>
        <v>19</v>
      </c>
      <c r="B22" s="0" t="n">
        <f aca="false">_xlfn.NORM.DIST(A22,$B$1,$B$2,0)</f>
        <v>0.0539909665131881</v>
      </c>
    </row>
    <row r="23" customFormat="false" ht="12.8" hidden="false" customHeight="false" outlineLevel="0" collapsed="false">
      <c r="A23" s="0" t="n">
        <f aca="false">A22+1/8</f>
        <v>19.125</v>
      </c>
      <c r="B23" s="0" t="n">
        <f aca="false">_xlfn.NORM.DIST(A23,$B$1,$B$2,0)</f>
        <v>0.0687862758266919</v>
      </c>
    </row>
    <row r="24" customFormat="false" ht="12.8" hidden="false" customHeight="false" outlineLevel="0" collapsed="false">
      <c r="A24" s="0" t="n">
        <f aca="false">A23+1/8</f>
        <v>19.25</v>
      </c>
      <c r="B24" s="0" t="n">
        <f aca="false">_xlfn.NORM.DIST(A24,$B$1,$B$2,0)</f>
        <v>0.0862773188265115</v>
      </c>
    </row>
    <row r="25" customFormat="false" ht="12.8" hidden="false" customHeight="false" outlineLevel="0" collapsed="false">
      <c r="A25" s="0" t="n">
        <f aca="false">A24+1/8</f>
        <v>19.375</v>
      </c>
      <c r="B25" s="0" t="n">
        <f aca="false">_xlfn.NORM.DIST(A25,$B$1,$B$2,0)</f>
        <v>0.106538268130585</v>
      </c>
    </row>
    <row r="26" customFormat="false" ht="12.8" hidden="false" customHeight="false" outlineLevel="0" collapsed="false">
      <c r="A26" s="0" t="n">
        <f aca="false">A25+1/8</f>
        <v>19.5</v>
      </c>
      <c r="B26" s="0" t="n">
        <f aca="false">_xlfn.NORM.DIST(A26,$B$1,$B$2,0)</f>
        <v>0.129517595665892</v>
      </c>
    </row>
    <row r="27" customFormat="false" ht="12.8" hidden="false" customHeight="false" outlineLevel="0" collapsed="false">
      <c r="A27" s="0" t="n">
        <f aca="false">A26+1/8</f>
        <v>19.625</v>
      </c>
      <c r="B27" s="0" t="n">
        <f aca="false">_xlfn.NORM.DIST(A27,$B$1,$B$2,0)</f>
        <v>0.155012265458293</v>
      </c>
    </row>
    <row r="28" customFormat="false" ht="12.8" hidden="false" customHeight="false" outlineLevel="0" collapsed="false">
      <c r="A28" s="0" t="n">
        <f aca="false">A27+1/8</f>
        <v>19.75</v>
      </c>
      <c r="B28" s="0" t="n">
        <f aca="false">_xlfn.NORM.DIST(A28,$B$1,$B$2,0)</f>
        <v>0.182649085389022</v>
      </c>
    </row>
    <row r="29" customFormat="false" ht="12.8" hidden="false" customHeight="false" outlineLevel="0" collapsed="false">
      <c r="A29" s="0" t="n">
        <f aca="false">A28+1/8</f>
        <v>19.875</v>
      </c>
      <c r="B29" s="0" t="n">
        <f aca="false">_xlfn.NORM.DIST(A29,$B$1,$B$2,0)</f>
        <v>0.211876645775699</v>
      </c>
    </row>
    <row r="30" customFormat="false" ht="12.8" hidden="false" customHeight="false" outlineLevel="0" collapsed="false">
      <c r="A30" s="0" t="n">
        <f aca="false">A29+1/8</f>
        <v>20</v>
      </c>
      <c r="B30" s="0" t="n">
        <f aca="false">_xlfn.NORM.DIST(A30,$B$1,$B$2,0)</f>
        <v>0.241970724519143</v>
      </c>
    </row>
    <row r="31" customFormat="false" ht="12.8" hidden="false" customHeight="false" outlineLevel="0" collapsed="false">
      <c r="A31" s="0" t="n">
        <f aca="false">A30+1/8</f>
        <v>20.125</v>
      </c>
      <c r="B31" s="0" t="n">
        <f aca="false">_xlfn.NORM.DIST(A31,$B$1,$B$2,0)</f>
        <v>0.272054998378543</v>
      </c>
    </row>
    <row r="32" customFormat="false" ht="12.8" hidden="false" customHeight="false" outlineLevel="0" collapsed="false">
      <c r="A32" s="0" t="n">
        <f aca="false">A31+1/8</f>
        <v>20.25</v>
      </c>
      <c r="B32" s="0" t="n">
        <f aca="false">_xlfn.NORM.DIST(A32,$B$1,$B$2,0)</f>
        <v>0.301137432154804</v>
      </c>
    </row>
    <row r="33" customFormat="false" ht="12.8" hidden="false" customHeight="false" outlineLevel="0" collapsed="false">
      <c r="A33" s="0" t="n">
        <f aca="false">A32+1/8</f>
        <v>20.375</v>
      </c>
      <c r="B33" s="0" t="n">
        <f aca="false">_xlfn.NORM.DIST(A33,$B$1,$B$2,0)</f>
        <v>0.328160968550375</v>
      </c>
    </row>
    <row r="34" customFormat="false" ht="12.8" hidden="false" customHeight="false" outlineLevel="0" collapsed="false">
      <c r="A34" s="0" t="n">
        <f aca="false">A33+1/8</f>
        <v>20.5</v>
      </c>
      <c r="B34" s="0" t="n">
        <f aca="false">_xlfn.NORM.DIST(A34,$B$1,$B$2,0)</f>
        <v>0.3520653267643</v>
      </c>
    </row>
    <row r="35" customFormat="false" ht="12.8" hidden="false" customHeight="false" outlineLevel="0" collapsed="false">
      <c r="A35" s="0" t="n">
        <f aca="false">A34+1/8</f>
        <v>20.625</v>
      </c>
      <c r="B35" s="0" t="n">
        <f aca="false">_xlfn.NORM.DIST(A35,$B$1,$B$2,0)</f>
        <v>0.371855093869769</v>
      </c>
    </row>
    <row r="36" customFormat="false" ht="12.8" hidden="false" customHeight="false" outlineLevel="0" collapsed="false">
      <c r="A36" s="0" t="n">
        <f aca="false">A35+1/8</f>
        <v>20.75</v>
      </c>
      <c r="B36" s="0" t="n">
        <f aca="false">_xlfn.NORM.DIST(A36,$B$1,$B$2,0)</f>
        <v>0.386668116802849</v>
      </c>
    </row>
    <row r="37" customFormat="false" ht="12.8" hidden="false" customHeight="false" outlineLevel="0" collapsed="false">
      <c r="A37" s="0" t="n">
        <f aca="false">A36+1/8</f>
        <v>20.875</v>
      </c>
      <c r="B37" s="0" t="n">
        <f aca="false">_xlfn.NORM.DIST(A37,$B$1,$B$2,0)</f>
        <v>0.39583768694475</v>
      </c>
    </row>
    <row r="38" customFormat="false" ht="12.8" hidden="false" customHeight="false" outlineLevel="0" collapsed="false">
      <c r="A38" s="0" t="n">
        <f aca="false">A37+1/8</f>
        <v>21</v>
      </c>
      <c r="B38" s="0" t="n">
        <f aca="false">_xlfn.NORM.DIST(A38,$B$1,$B$2,0)</f>
        <v>0.398942280401433</v>
      </c>
    </row>
    <row r="39" customFormat="false" ht="12.8" hidden="false" customHeight="false" outlineLevel="0" collapsed="false">
      <c r="A39" s="0" t="n">
        <f aca="false">A38+1/8</f>
        <v>21.125</v>
      </c>
      <c r="B39" s="0" t="n">
        <f aca="false">_xlfn.NORM.DIST(A39,$B$1,$B$2,0)</f>
        <v>0.39583768694475</v>
      </c>
    </row>
    <row r="40" customFormat="false" ht="12.8" hidden="false" customHeight="false" outlineLevel="0" collapsed="false">
      <c r="A40" s="0" t="n">
        <f aca="false">A39+1/8</f>
        <v>21.25</v>
      </c>
      <c r="B40" s="0" t="n">
        <f aca="false">_xlfn.NORM.DIST(A40,$B$1,$B$2,0)</f>
        <v>0.386668116802849</v>
      </c>
    </row>
    <row r="41" customFormat="false" ht="12.8" hidden="false" customHeight="false" outlineLevel="0" collapsed="false">
      <c r="A41" s="0" t="n">
        <f aca="false">A40+1/8</f>
        <v>21.375</v>
      </c>
      <c r="B41" s="0" t="n">
        <f aca="false">_xlfn.NORM.DIST(A41,$B$1,$B$2,0)</f>
        <v>0.371855093869769</v>
      </c>
    </row>
    <row r="42" customFormat="false" ht="12.8" hidden="false" customHeight="false" outlineLevel="0" collapsed="false">
      <c r="A42" s="0" t="n">
        <f aca="false">A41+1/8</f>
        <v>21.5</v>
      </c>
      <c r="B42" s="0" t="n">
        <f aca="false">_xlfn.NORM.DIST(A42,$B$1,$B$2,0)</f>
        <v>0.3520653267643</v>
      </c>
    </row>
    <row r="43" customFormat="false" ht="12.8" hidden="false" customHeight="false" outlineLevel="0" collapsed="false">
      <c r="A43" s="0" t="n">
        <f aca="false">A42+1/8</f>
        <v>21.625</v>
      </c>
      <c r="B43" s="0" t="n">
        <f aca="false">_xlfn.NORM.DIST(A43,$B$1,$B$2,0)</f>
        <v>0.328160968550375</v>
      </c>
    </row>
    <row r="44" customFormat="false" ht="12.8" hidden="false" customHeight="false" outlineLevel="0" collapsed="false">
      <c r="A44" s="0" t="n">
        <f aca="false">A43+1/8</f>
        <v>21.75</v>
      </c>
      <c r="B44" s="0" t="n">
        <f aca="false">_xlfn.NORM.DIST(A44,$B$1,$B$2,0)</f>
        <v>0.301137432154804</v>
      </c>
    </row>
    <row r="45" customFormat="false" ht="12.8" hidden="false" customHeight="false" outlineLevel="0" collapsed="false">
      <c r="A45" s="0" t="n">
        <f aca="false">A44+1/8</f>
        <v>21.875</v>
      </c>
      <c r="B45" s="0" t="n">
        <f aca="false">_xlfn.NORM.DIST(A45,$B$1,$B$2,0)</f>
        <v>0.272054998378543</v>
      </c>
    </row>
    <row r="46" customFormat="false" ht="12.8" hidden="false" customHeight="false" outlineLevel="0" collapsed="false">
      <c r="A46" s="0" t="n">
        <f aca="false">A45+1/8</f>
        <v>22</v>
      </c>
      <c r="B46" s="0" t="n">
        <f aca="false">_xlfn.NORM.DIST(A46,$B$1,$B$2,0)</f>
        <v>0.241970724519143</v>
      </c>
    </row>
    <row r="47" customFormat="false" ht="12.8" hidden="false" customHeight="false" outlineLevel="0" collapsed="false">
      <c r="A47" s="0" t="n">
        <f aca="false">A46+1/8</f>
        <v>22.125</v>
      </c>
      <c r="B47" s="0" t="n">
        <f aca="false">_xlfn.NORM.DIST(A47,$B$1,$B$2,0)</f>
        <v>0.211876645775699</v>
      </c>
    </row>
    <row r="48" customFormat="false" ht="12.8" hidden="false" customHeight="false" outlineLevel="0" collapsed="false">
      <c r="A48" s="0" t="n">
        <f aca="false">A47+1/8</f>
        <v>22.25</v>
      </c>
      <c r="B48" s="0" t="n">
        <f aca="false">_xlfn.NORM.DIST(A48,$B$1,$B$2,0)</f>
        <v>0.182649085389022</v>
      </c>
    </row>
    <row r="49" customFormat="false" ht="12.8" hidden="false" customHeight="false" outlineLevel="0" collapsed="false">
      <c r="A49" s="0" t="n">
        <f aca="false">A48+1/8</f>
        <v>22.375</v>
      </c>
      <c r="B49" s="0" t="n">
        <f aca="false">_xlfn.NORM.DIST(A49,$B$1,$B$2,0)</f>
        <v>0.155012265458293</v>
      </c>
    </row>
    <row r="50" customFormat="false" ht="12.8" hidden="false" customHeight="false" outlineLevel="0" collapsed="false">
      <c r="A50" s="0" t="n">
        <f aca="false">A49+1/8</f>
        <v>22.5</v>
      </c>
      <c r="B50" s="0" t="n">
        <f aca="false">_xlfn.NORM.DIST(A50,$B$1,$B$2,0)</f>
        <v>0.129517595665892</v>
      </c>
    </row>
    <row r="51" customFormat="false" ht="12.8" hidden="false" customHeight="false" outlineLevel="0" collapsed="false">
      <c r="A51" s="0" t="n">
        <f aca="false">A50+1/8</f>
        <v>22.625</v>
      </c>
      <c r="B51" s="0" t="n">
        <f aca="false">_xlfn.NORM.DIST(A51,$B$1,$B$2,0)</f>
        <v>0.106538268130585</v>
      </c>
    </row>
    <row r="52" customFormat="false" ht="12.8" hidden="false" customHeight="false" outlineLevel="0" collapsed="false">
      <c r="A52" s="0" t="n">
        <f aca="false">A51+1/8</f>
        <v>22.75</v>
      </c>
      <c r="B52" s="0" t="n">
        <f aca="false">_xlfn.NORM.DIST(A52,$B$1,$B$2,0)</f>
        <v>0.0862773188265115</v>
      </c>
    </row>
    <row r="53" customFormat="false" ht="12.8" hidden="false" customHeight="false" outlineLevel="0" collapsed="false">
      <c r="A53" s="0" t="n">
        <f aca="false">A52+1/8</f>
        <v>22.875</v>
      </c>
      <c r="B53" s="0" t="n">
        <f aca="false">_xlfn.NORM.DIST(A53,$B$1,$B$2,0)</f>
        <v>0.0687862758266919</v>
      </c>
    </row>
    <row r="54" customFormat="false" ht="12.8" hidden="false" customHeight="false" outlineLevel="0" collapsed="false">
      <c r="A54" s="0" t="n">
        <f aca="false">A53+1/8</f>
        <v>23</v>
      </c>
      <c r="B54" s="0" t="n">
        <f aca="false">_xlfn.NORM.DIST(A54,$B$1,$B$2,0)</f>
        <v>0.0539909665131881</v>
      </c>
    </row>
    <row r="55" customFormat="false" ht="12.8" hidden="false" customHeight="false" outlineLevel="0" collapsed="false">
      <c r="A55" s="0" t="n">
        <f aca="false">A54+1/8</f>
        <v>23.125</v>
      </c>
      <c r="B55" s="0" t="n">
        <f aca="false">_xlfn.NORM.DIST(A55,$B$1,$B$2,0)</f>
        <v>0.0417209852563386</v>
      </c>
    </row>
    <row r="56" customFormat="false" ht="12.8" hidden="false" customHeight="false" outlineLevel="0" collapsed="false">
      <c r="A56" s="0" t="n">
        <f aca="false">A55+1/8</f>
        <v>23.25</v>
      </c>
      <c r="B56" s="0" t="n">
        <f aca="false">_xlfn.NORM.DIST(A56,$B$1,$B$2,0)</f>
        <v>0.0317396518356674</v>
      </c>
    </row>
    <row r="57" customFormat="false" ht="12.8" hidden="false" customHeight="false" outlineLevel="0" collapsed="false">
      <c r="A57" s="0" t="n">
        <f aca="false">A56+1/8</f>
        <v>23.375</v>
      </c>
      <c r="B57" s="0" t="n">
        <f aca="false">_xlfn.NORM.DIST(A57,$B$1,$B$2,0)</f>
        <v>0.0237719008299138</v>
      </c>
    </row>
    <row r="58" customFormat="false" ht="12.8" hidden="false" customHeight="false" outlineLevel="0" collapsed="false">
      <c r="A58" s="0" t="n">
        <f aca="false">A57+1/8</f>
        <v>23.5</v>
      </c>
      <c r="B58" s="0" t="n">
        <f aca="false">_xlfn.NORM.DIST(A58,$B$1,$B$2,0)</f>
        <v>0.0175283004935685</v>
      </c>
    </row>
    <row r="59" customFormat="false" ht="12.8" hidden="false" customHeight="false" outlineLevel="0" collapsed="false">
      <c r="A59" s="0" t="n">
        <f aca="false">A58+1/8</f>
        <v>23.625</v>
      </c>
      <c r="B59" s="0" t="n">
        <f aca="false">_xlfn.NORM.DIST(A59,$B$1,$B$2,0)</f>
        <v>0.0127241815968314</v>
      </c>
    </row>
    <row r="60" customFormat="false" ht="12.8" hidden="false" customHeight="false" outlineLevel="0" collapsed="false">
      <c r="A60" s="0" t="n">
        <f aca="false">A59+1/8</f>
        <v>23.75</v>
      </c>
      <c r="B60" s="0" t="n">
        <f aca="false">_xlfn.NORM.DIST(A60,$B$1,$B$2,0)</f>
        <v>0.00909356250159105</v>
      </c>
    </row>
    <row r="61" customFormat="false" ht="12.8" hidden="false" customHeight="false" outlineLevel="0" collapsed="false">
      <c r="A61" s="0" t="n">
        <f aca="false">A60+1/8</f>
        <v>23.875</v>
      </c>
      <c r="B61" s="0" t="n">
        <f aca="false">_xlfn.NORM.DIST(A61,$B$1,$B$2,0)</f>
        <v>0.00639812031072356</v>
      </c>
    </row>
    <row r="62" customFormat="false" ht="12.8" hidden="false" customHeight="false" outlineLevel="0" collapsed="false">
      <c r="A62" s="0" t="n">
        <f aca="false">A61+1/8</f>
        <v>24</v>
      </c>
      <c r="B62" s="0" t="n">
        <f aca="false">_xlfn.NORM.DIST(A62,$B$1,$B$2,0)</f>
        <v>0.00443184841193801</v>
      </c>
    </row>
    <row r="63" customFormat="false" ht="12.8" hidden="false" customHeight="false" outlineLevel="0" collapsed="false">
      <c r="A63" s="0" t="n">
        <f aca="false">A62+1/8</f>
        <v>24.125</v>
      </c>
      <c r="B63" s="0" t="n">
        <f aca="false">_xlfn.NORM.DIST(A63,$B$1,$B$2,0)</f>
        <v>0.00302225803519876</v>
      </c>
    </row>
    <row r="64" customFormat="false" ht="12.8" hidden="false" customHeight="false" outlineLevel="0" collapsed="false">
      <c r="A64" s="0" t="n">
        <f aca="false">A63+1/8</f>
        <v>24.25</v>
      </c>
      <c r="B64" s="0" t="n">
        <f aca="false">_xlfn.NORM.DIST(A64,$B$1,$B$2,0)</f>
        <v>0.00202904805729977</v>
      </c>
    </row>
    <row r="65" customFormat="false" ht="12.8" hidden="false" customHeight="false" outlineLevel="0" collapsed="false">
      <c r="A65" s="0" t="n">
        <f aca="false">A64+1/8</f>
        <v>24.375</v>
      </c>
      <c r="B65" s="0" t="n">
        <f aca="false">_xlfn.NORM.DIST(A65,$B$1,$B$2,0)</f>
        <v>0.00134111887349038</v>
      </c>
    </row>
    <row r="66" customFormat="false" ht="12.8" hidden="false" customHeight="false" outlineLevel="0" collapsed="false">
      <c r="A66" s="0" t="n">
        <f aca="false">A65+1/8</f>
        <v>24.5</v>
      </c>
      <c r="B66" s="0" t="n">
        <f aca="false">_xlfn.NORM.DIST(A66,$B$1,$B$2,0)</f>
        <v>0.00087268269504576</v>
      </c>
    </row>
    <row r="67" customFormat="false" ht="12.8" hidden="false" customHeight="false" outlineLevel="0" collapsed="false">
      <c r="A67" s="0" t="n">
        <f aca="false">A66+1/8</f>
        <v>24.625</v>
      </c>
      <c r="B67" s="0" t="n">
        <f aca="false">_xlfn.NORM.DIST(A67,$B$1,$B$2,0)</f>
        <v>0.000559061522232165</v>
      </c>
    </row>
    <row r="68" customFormat="false" ht="12.8" hidden="false" customHeight="false" outlineLevel="0" collapsed="false">
      <c r="A68" s="0" t="n">
        <f aca="false">A67+1/8</f>
        <v>24.75</v>
      </c>
      <c r="B68" s="0" t="n">
        <f aca="false">_xlfn.NORM.DIST(A68,$B$1,$B$2,0)</f>
        <v>0.000352595682367445</v>
      </c>
    </row>
    <row r="69" customFormat="false" ht="12.8" hidden="false" customHeight="false" outlineLevel="0" collapsed="false">
      <c r="A69" s="0" t="n">
        <f aca="false">A68+1/8</f>
        <v>24.875</v>
      </c>
      <c r="B69" s="0" t="n">
        <f aca="false">_xlfn.NORM.DIST(A69,$B$1,$B$2,0)</f>
        <v>0.000218931637764612</v>
      </c>
    </row>
    <row r="70" customFormat="false" ht="12.8" hidden="false" customHeight="false" outlineLevel="0" collapsed="false">
      <c r="A70" s="0" t="n">
        <f aca="false">A69+1/8</f>
        <v>25</v>
      </c>
      <c r="B70" s="0" t="n">
        <f aca="false">_xlfn.NORM.DIST(A70,$B$1,$B$2,0)</f>
        <v>0.000133830225764885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2021-05-29T15:50:36Z</dcterms:created>
  <dc:creator/>
  <dc:description/>
  <dc:language>en-US</dc:language>
  <cp:lastModifiedBy/>
  <dcterms:modified xsi:type="dcterms:W3CDTF">2021-05-29T16:04:35Z</dcterms:modified>
  <cp:revision>3</cp:revision>
  <dc:subject/>
  <dc:title/>
</cp:coreProperties>
</file>