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<sst xmlns="http://schemas.openxmlformats.org/spreadsheetml/2006/main" count="15" uniqueCount="15">
  <si>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x</t>
  </si>
  <si>
    <t xml:space="preserve">i</t>
  </si>
  <si>
    <t xml:space="preserve">f_i=(i-3/8)/(n+1/4)</t>
  </si>
  <si>
    <t xml:space="preserve">z-score</t>
  </si>
  <si>
    <t xml:space="preserve">norm density</t>
  </si>
  <si>
    <t xml:space="preserve">correlation</t>
  </si>
  <si>
    <t xml:space="preserve">n</t>
  </si>
  <si>
    <t xml:space="preserve">mean</t>
  </si>
  <si>
    <t xml:space="preserve">st dev</t>
  </si>
  <si>
    <t xml:space="preserve">QQ plot is straight enough.</t>
  </si>
  <si>
    <t xml:space="preserve">Distribution is normal enough.</t>
  </si>
  <si>
    <t xml:space="preserve">( d ) P(X&gt;=1000)</t>
  </si>
  <si>
    <t xml:space="preserve">1-norm.dist(1000,1247.37,100.960181920,1)</t>
  </si>
  <si>
    <t xml:space="preserve">( e ) P(1200&lt;=X&lt;=1400)</t>
  </si>
  <si>
    <t xml:space="preserve">norm.dist(1400,1247.37,100.960181920,1)-norm.dist(1200,1247.37,100.960181920,1)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</si>
</sst>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QQ normal plot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z-score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Sheet1!$B$2:$B$41</c:f>
              <c:numCache>
                <c:formatCode>General</c:formatCode>
                <c:ptCount val="40"/>
                <c:pt idx="0">
                  <c:v>1087</c:v>
                </c:pt>
                <c:pt idx="1">
                  <c:v>1098</c:v>
                </c:pt>
                <c:pt idx="2">
                  <c:v>1103</c:v>
                </c:pt>
                <c:pt idx="3">
                  <c:v>1121</c:v>
                </c:pt>
                <c:pt idx="4">
                  <c:v>1132</c:v>
                </c:pt>
                <c:pt idx="5">
                  <c:v>1135</c:v>
                </c:pt>
                <c:pt idx="6">
                  <c:v>1137</c:v>
                </c:pt>
                <c:pt idx="7">
                  <c:v>1143</c:v>
                </c:pt>
                <c:pt idx="8">
                  <c:v>1154</c:v>
                </c:pt>
                <c:pt idx="9">
                  <c:v>1166</c:v>
                </c:pt>
                <c:pt idx="10">
                  <c:v>1185</c:v>
                </c:pt>
                <c:pt idx="11">
                  <c:v>1191</c:v>
                </c:pt>
                <c:pt idx="12">
                  <c:v>1199</c:v>
                </c:pt>
                <c:pt idx="13">
                  <c:v>1200</c:v>
                </c:pt>
                <c:pt idx="14">
                  <c:v>1213</c:v>
                </c:pt>
                <c:pt idx="15">
                  <c:v>1214</c:v>
                </c:pt>
                <c:pt idx="16">
                  <c:v>1215</c:v>
                </c:pt>
                <c:pt idx="17">
                  <c:v>1219</c:v>
                </c:pt>
                <c:pt idx="18">
                  <c:v>1219</c:v>
                </c:pt>
                <c:pt idx="19">
                  <c:v>1228</c:v>
                </c:pt>
                <c:pt idx="20">
                  <c:v>1239</c:v>
                </c:pt>
                <c:pt idx="21">
                  <c:v>1244</c:v>
                </c:pt>
                <c:pt idx="22">
                  <c:v>1247</c:v>
                </c:pt>
                <c:pt idx="23">
                  <c:v>1258</c:v>
                </c:pt>
                <c:pt idx="24">
                  <c:v>1269</c:v>
                </c:pt>
                <c:pt idx="25">
                  <c:v>1270</c:v>
                </c:pt>
                <c:pt idx="26">
                  <c:v>1279</c:v>
                </c:pt>
                <c:pt idx="27">
                  <c:v>1293</c:v>
                </c:pt>
                <c:pt idx="28">
                  <c:v>1294</c:v>
                </c:pt>
                <c:pt idx="29">
                  <c:v>1295</c:v>
                </c:pt>
                <c:pt idx="30">
                  <c:v>1307</c:v>
                </c:pt>
                <c:pt idx="31">
                  <c:v>1325</c:v>
                </c:pt>
                <c:pt idx="32">
                  <c:v>1345</c:v>
                </c:pt>
                <c:pt idx="33">
                  <c:v>1356</c:v>
                </c:pt>
                <c:pt idx="34">
                  <c:v>1363</c:v>
                </c:pt>
                <c:pt idx="35">
                  <c:v>1377</c:v>
                </c:pt>
                <c:pt idx="36">
                  <c:v>1402</c:v>
                </c:pt>
                <c:pt idx="37">
                  <c:v>1419</c:v>
                </c:pt>
                <c:pt idx="38">
                  <c:v>1440</c:v>
                </c:pt>
                <c:pt idx="39">
                  <c:v>1514</c:v>
                </c:pt>
              </c:numCache>
            </c:numRef>
          </c:xVal>
          <c:yVal>
            <c:numRef>
              <c:f>Sheet1!$E$2:$E$41</c:f>
              <c:numCache>
                <c:formatCode>General</c:formatCode>
                <c:ptCount val="40"/>
                <c:pt idx="0">
                  <c:v>-2.15635570519183</c:v>
                </c:pt>
                <c:pt idx="1">
                  <c:v>-1.7463777039325</c:v>
                </c:pt>
                <c:pt idx="2">
                  <c:v>-1.51238958606768</c:v>
                </c:pt>
                <c:pt idx="3">
                  <c:v>-1.34037264781591</c:v>
                </c:pt>
                <c:pt idx="4">
                  <c:v>-1.20083898881393</c:v>
                </c:pt>
                <c:pt idx="5">
                  <c:v>-1.08143624642783</c:v>
                </c:pt>
                <c:pt idx="6">
                  <c:v>-0.975741569736452</c:v>
                </c:pt>
                <c:pt idx="7">
                  <c:v>-0.879958138385173</c:v>
                </c:pt>
                <c:pt idx="8">
                  <c:v>-0.791638607743375</c:v>
                </c:pt>
                <c:pt idx="9">
                  <c:v>-0.709102503409024</c:v>
                </c:pt>
                <c:pt idx="10">
                  <c:v>-0.631137978608047</c:v>
                </c:pt>
                <c:pt idx="11">
                  <c:v>-0.556835609770804</c:v>
                </c:pt>
                <c:pt idx="12">
                  <c:v>-0.485489452829721</c:v>
                </c:pt>
                <c:pt idx="13">
                  <c:v>-0.416534901828723</c:v>
                </c:pt>
                <c:pt idx="14">
                  <c:v>-0.349507855309863</c:v>
                </c:pt>
                <c:pt idx="15">
                  <c:v>-0.284016787609739</c:v>
                </c:pt>
                <c:pt idx="16">
                  <c:v>-0.21972291581858</c:v>
                </c:pt>
                <c:pt idx="17">
                  <c:v>-0.156325575894448</c:v>
                </c:pt>
                <c:pt idx="18">
                  <c:v>-0.0935509957864241</c:v>
                </c:pt>
                <c:pt idx="19">
                  <c:v>-0.0311432730320925</c:v>
                </c:pt>
                <c:pt idx="20">
                  <c:v>0.0311432730320925</c:v>
                </c:pt>
                <c:pt idx="21">
                  <c:v>0.093550995786424</c:v>
                </c:pt>
                <c:pt idx="22">
                  <c:v>0.156325575894448</c:v>
                </c:pt>
                <c:pt idx="23">
                  <c:v>0.21972291581858</c:v>
                </c:pt>
                <c:pt idx="24">
                  <c:v>0.284016787609739</c:v>
                </c:pt>
                <c:pt idx="25">
                  <c:v>0.349507855309863</c:v>
                </c:pt>
                <c:pt idx="26">
                  <c:v>0.416534901828723</c:v>
                </c:pt>
                <c:pt idx="27">
                  <c:v>0.485489452829721</c:v>
                </c:pt>
                <c:pt idx="28">
                  <c:v>0.556835609770804</c:v>
                </c:pt>
                <c:pt idx="29">
                  <c:v>0.631137978608047</c:v>
                </c:pt>
                <c:pt idx="30">
                  <c:v>0.709102503409024</c:v>
                </c:pt>
                <c:pt idx="31">
                  <c:v>0.791638607743375</c:v>
                </c:pt>
                <c:pt idx="32">
                  <c:v>0.879958138385173</c:v>
                </c:pt>
                <c:pt idx="33">
                  <c:v>0.975741569736452</c:v>
                </c:pt>
                <c:pt idx="34">
                  <c:v>1.08143624642783</c:v>
                </c:pt>
                <c:pt idx="35">
                  <c:v>1.20083898881393</c:v>
                </c:pt>
                <c:pt idx="36">
                  <c:v>1.34037264781591</c:v>
                </c:pt>
                <c:pt idx="37">
                  <c:v>1.51238958606768</c:v>
                </c:pt>
                <c:pt idx="38">
                  <c:v>1.7463777039325</c:v>
                </c:pt>
                <c:pt idx="39">
                  <c:v>2.15635570519183</c:v>
                </c:pt>
              </c:numCache>
            </c:numRef>
          </c:yVal>
          <c:smooth val="0"/>
        </c:ser>
        <c:axId val="36438368"/>
        <c:axId val="63828714"/>
      </c:scatterChart>
      <c:valAx>
        <c:axId val="364383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 (observed quantity)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3828714"/>
        <c:crosses val="autoZero"/>
        <c:crossBetween val="midCat"/>
      </c:valAx>
      <c:valAx>
        <c:axId val="63828714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z-score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6438368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Normal density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norm density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Sheet1!$B$2:$B$41</c:f>
              <c:numCache>
                <c:formatCode>General</c:formatCode>
                <c:ptCount val="40"/>
                <c:pt idx="0">
                  <c:v>1087</c:v>
                </c:pt>
                <c:pt idx="1">
                  <c:v>1098</c:v>
                </c:pt>
                <c:pt idx="2">
                  <c:v>1103</c:v>
                </c:pt>
                <c:pt idx="3">
                  <c:v>1121</c:v>
                </c:pt>
                <c:pt idx="4">
                  <c:v>1132</c:v>
                </c:pt>
                <c:pt idx="5">
                  <c:v>1135</c:v>
                </c:pt>
                <c:pt idx="6">
                  <c:v>1137</c:v>
                </c:pt>
                <c:pt idx="7">
                  <c:v>1143</c:v>
                </c:pt>
                <c:pt idx="8">
                  <c:v>1154</c:v>
                </c:pt>
                <c:pt idx="9">
                  <c:v>1166</c:v>
                </c:pt>
                <c:pt idx="10">
                  <c:v>1185</c:v>
                </c:pt>
                <c:pt idx="11">
                  <c:v>1191</c:v>
                </c:pt>
                <c:pt idx="12">
                  <c:v>1199</c:v>
                </c:pt>
                <c:pt idx="13">
                  <c:v>1200</c:v>
                </c:pt>
                <c:pt idx="14">
                  <c:v>1213</c:v>
                </c:pt>
                <c:pt idx="15">
                  <c:v>1214</c:v>
                </c:pt>
                <c:pt idx="16">
                  <c:v>1215</c:v>
                </c:pt>
                <c:pt idx="17">
                  <c:v>1219</c:v>
                </c:pt>
                <c:pt idx="18">
                  <c:v>1219</c:v>
                </c:pt>
                <c:pt idx="19">
                  <c:v>1228</c:v>
                </c:pt>
                <c:pt idx="20">
                  <c:v>1239</c:v>
                </c:pt>
                <c:pt idx="21">
                  <c:v>1244</c:v>
                </c:pt>
                <c:pt idx="22">
                  <c:v>1247</c:v>
                </c:pt>
                <c:pt idx="23">
                  <c:v>1258</c:v>
                </c:pt>
                <c:pt idx="24">
                  <c:v>1269</c:v>
                </c:pt>
                <c:pt idx="25">
                  <c:v>1270</c:v>
                </c:pt>
                <c:pt idx="26">
                  <c:v>1279</c:v>
                </c:pt>
                <c:pt idx="27">
                  <c:v>1293</c:v>
                </c:pt>
                <c:pt idx="28">
                  <c:v>1294</c:v>
                </c:pt>
                <c:pt idx="29">
                  <c:v>1295</c:v>
                </c:pt>
                <c:pt idx="30">
                  <c:v>1307</c:v>
                </c:pt>
                <c:pt idx="31">
                  <c:v>1325</c:v>
                </c:pt>
                <c:pt idx="32">
                  <c:v>1345</c:v>
                </c:pt>
                <c:pt idx="33">
                  <c:v>1356</c:v>
                </c:pt>
                <c:pt idx="34">
                  <c:v>1363</c:v>
                </c:pt>
                <c:pt idx="35">
                  <c:v>1377</c:v>
                </c:pt>
                <c:pt idx="36">
                  <c:v>1402</c:v>
                </c:pt>
                <c:pt idx="37">
                  <c:v>1419</c:v>
                </c:pt>
                <c:pt idx="38">
                  <c:v>1440</c:v>
                </c:pt>
                <c:pt idx="39">
                  <c:v>1514</c:v>
                </c:pt>
              </c:numCache>
            </c:numRef>
          </c:xVal>
          <c:yVal>
            <c:numRef>
              <c:f>Sheet1!$F$2:$F$41</c:f>
              <c:numCache>
                <c:formatCode>General</c:formatCode>
                <c:ptCount val="40"/>
                <c:pt idx="0">
                  <c:v>0.00111899206428627</c:v>
                </c:pt>
                <c:pt idx="1">
                  <c:v>0.00132255540928921</c:v>
                </c:pt>
                <c:pt idx="2">
                  <c:v>0.00142135844937902</c:v>
                </c:pt>
                <c:pt idx="3">
                  <c:v>0.00180520681904881</c:v>
                </c:pt>
                <c:pt idx="4">
                  <c:v>0.0020567367252673</c:v>
                </c:pt>
                <c:pt idx="5">
                  <c:v>0.00212683805978601</c:v>
                </c:pt>
                <c:pt idx="6">
                  <c:v>0.00217382811092023</c:v>
                </c:pt>
                <c:pt idx="7">
                  <c:v>0.00231566086794043</c:v>
                </c:pt>
                <c:pt idx="8">
                  <c:v>0.00257641445106644</c:v>
                </c:pt>
                <c:pt idx="9">
                  <c:v>0.00285554813594804</c:v>
                </c:pt>
                <c:pt idx="10">
                  <c:v>0.00326493910813799</c:v>
                </c:pt>
                <c:pt idx="11">
                  <c:v>0.00338106825636126</c:v>
                </c:pt>
                <c:pt idx="12">
                  <c:v>0.00352294934747355</c:v>
                </c:pt>
                <c:pt idx="13">
                  <c:v>0.00353953510258032</c:v>
                </c:pt>
                <c:pt idx="14">
                  <c:v>0.00372895103159399</c:v>
                </c:pt>
                <c:pt idx="15">
                  <c:v>0.00374136434145326</c:v>
                </c:pt>
                <c:pt idx="16">
                  <c:v>0.00375345071634954</c:v>
                </c:pt>
                <c:pt idx="17">
                  <c:v>0.00379845954511951</c:v>
                </c:pt>
                <c:pt idx="18">
                  <c:v>0.00379845954511951</c:v>
                </c:pt>
                <c:pt idx="19">
                  <c:v>0.00387938381878211</c:v>
                </c:pt>
                <c:pt idx="20">
                  <c:v>0.00393790912640659</c:v>
                </c:pt>
                <c:pt idx="21">
                  <c:v>0.00394927412172913</c:v>
                </c:pt>
                <c:pt idx="22">
                  <c:v>0.00395145413629753</c:v>
                </c:pt>
                <c:pt idx="23">
                  <c:v>0.00392965984197063</c:v>
                </c:pt>
                <c:pt idx="24">
                  <c:v>0.00386186855751689</c:v>
                </c:pt>
                <c:pt idx="25">
                  <c:v>0.00385349501440883</c:v>
                </c:pt>
                <c:pt idx="26">
                  <c:v>0.00376229887902498</c:v>
                </c:pt>
                <c:pt idx="27">
                  <c:v>0.00356790591121711</c:v>
                </c:pt>
                <c:pt idx="28">
                  <c:v>0.00355179696012489</c:v>
                </c:pt>
                <c:pt idx="29">
                  <c:v>0.00353541387462794</c:v>
                </c:pt>
                <c:pt idx="30">
                  <c:v>0.00331911623313813</c:v>
                </c:pt>
                <c:pt idx="31">
                  <c:v>0.00294030097675767</c:v>
                </c:pt>
                <c:pt idx="32">
                  <c:v>0.00247583949520716</c:v>
                </c:pt>
                <c:pt idx="33">
                  <c:v>0.0022150820884217</c:v>
                </c:pt>
                <c:pt idx="34">
                  <c:v>0.00205091856809458</c:v>
                </c:pt>
                <c:pt idx="35">
                  <c:v>0.00173301501939355</c:v>
                </c:pt>
                <c:pt idx="36">
                  <c:v>0.00122296280013934</c:v>
                </c:pt>
                <c:pt idx="37">
                  <c:v>0.000931660890596358</c:v>
                </c:pt>
                <c:pt idx="38">
                  <c:v>0.000640178231074448</c:v>
                </c:pt>
                <c:pt idx="39">
                  <c:v>0.000120866773287511</c:v>
                </c:pt>
              </c:numCache>
            </c:numRef>
          </c:yVal>
          <c:smooth val="0"/>
        </c:ser>
        <c:axId val="12436969"/>
        <c:axId val="63243315"/>
      </c:scatterChart>
      <c:valAx>
        <c:axId val="124369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 (observed quantity)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3243315"/>
        <c:crosses val="autoZero"/>
        <c:crossBetween val="midCat"/>
      </c:valAx>
      <c:valAx>
        <c:axId val="63243315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2436969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227520</xdr:colOff>
      <xdr:row>15</xdr:row>
      <xdr:rowOff>10080</xdr:rowOff>
    </xdr:from>
    <xdr:to>
      <xdr:col>8</xdr:col>
      <xdr:colOff>35280</xdr:colOff>
      <xdr:row>34</xdr:row>
      <xdr:rowOff>161280</xdr:rowOff>
    </xdr:to>
    <xdr:graphicFrame>
      <xdr:nvGraphicFramePr>
        <xdr:cNvPr id="0" name=""/>
        <xdr:cNvGraphicFramePr/>
      </xdr:nvGraphicFramePr>
      <xdr:xfrm>
        <a:off x="4149720" y="24483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231840</xdr:colOff>
      <xdr:row>37</xdr:row>
      <xdr:rowOff>75240</xdr:rowOff>
    </xdr:from>
    <xdr:to>
      <xdr:col>8</xdr:col>
      <xdr:colOff>39600</xdr:colOff>
      <xdr:row>57</xdr:row>
      <xdr:rowOff>63720</xdr:rowOff>
    </xdr:to>
    <xdr:graphicFrame>
      <xdr:nvGraphicFramePr>
        <xdr:cNvPr id="1" name=""/>
        <xdr:cNvGraphicFramePr/>
      </xdr:nvGraphicFramePr>
      <xdr:xfrm>
        <a:off x="4154040" y="6089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RowHeight="12.8"/>
  <cols>
    <col collapsed="false" hidden="false" max="2" min="1" style="0" width="5.36224489795918"/>
    <col collapsed="false" hidden="false" max="3" min="3" style="0" width="3.39285714285714"/>
    <col collapsed="false" hidden="false" max="4" min="4" style="0" width="15.3877551020408"/>
    <col collapsed="false" hidden="false" max="5" min="5" style="0" width="13.3571428571429"/>
    <col collapsed="false" hidden="false" max="6" min="6" style="0" width="12.7244897959184"/>
    <col collapsed="false" hidden="false" max="7" min="7" style="0" width="69.6632653061225"/>
    <col collapsed="false" hidden="false" max="8" min="8" style="0" width="14.6887755102041"/>
    <col collapsed="false" hidden="false" max="1025" min="9" style="0" width="11.5204081632653"/>
  </cols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n">
        <f aca="false">CORREL(B2:B21,E2:E21)</f>
        <v>0.974628235625073</v>
      </c>
    </row>
    <row r="2" customFormat="false" ht="12.8" hidden="false" customHeight="false" outlineLevel="0" collapsed="false">
      <c r="A2" s="0" t="n">
        <v>1087</v>
      </c>
      <c r="B2" s="0" t="n">
        <v>1087</v>
      </c>
      <c r="C2" s="0" t="n">
        <v>1</v>
      </c>
      <c r="D2" s="1" t="n">
        <f aca="false">(C2-3/8)/($H$2+1/4)</f>
        <v>0.015527950310559</v>
      </c>
      <c r="E2" s="1" t="n">
        <f aca="false">_xlfn.NORM.INV(D2,0,1)</f>
        <v>-2.15635570519183</v>
      </c>
      <c r="F2" s="1" t="n">
        <f aca="false">_xlfn.NORM.DIST(B2,$H$3,$H$4,0)</f>
        <v>0.00111899206428627</v>
      </c>
      <c r="G2" s="2" t="s">
        <v>6</v>
      </c>
      <c r="H2" s="0" t="n">
        <f aca="false">COUNT(B2:B41)</f>
        <v>40</v>
      </c>
    </row>
    <row r="3" customFormat="false" ht="12.8" hidden="false" customHeight="false" outlineLevel="0" collapsed="false">
      <c r="A3" s="0" t="n">
        <v>1098</v>
      </c>
      <c r="B3" s="0" t="n">
        <v>1098</v>
      </c>
      <c r="C3" s="0" t="n">
        <v>2</v>
      </c>
      <c r="D3" s="1" t="n">
        <f aca="false">(C3-3/8)/($H$2+1/4)</f>
        <v>0.0403726708074534</v>
      </c>
      <c r="E3" s="1" t="n">
        <f aca="false">_xlfn.NORM.INV(D3,0,1)</f>
        <v>-1.7463777039325</v>
      </c>
      <c r="F3" s="1" t="n">
        <f aca="false">_xlfn.NORM.DIST(B3,$H$3,$H$4,0)</f>
        <v>0.00132255540928921</v>
      </c>
      <c r="G3" s="2" t="s">
        <v>7</v>
      </c>
      <c r="H3" s="0" t="n">
        <f aca="false">AVERAGE(B2:B41)</f>
        <v>1247.375</v>
      </c>
    </row>
    <row r="4" customFormat="false" ht="12.8" hidden="false" customHeight="false" outlineLevel="0" collapsed="false">
      <c r="A4" s="0" t="n">
        <v>1103</v>
      </c>
      <c r="B4" s="0" t="n">
        <v>1103</v>
      </c>
      <c r="C4" s="0" t="n">
        <v>3</v>
      </c>
      <c r="D4" s="1" t="n">
        <f aca="false">(C4-3/8)/($H$2+1/4)</f>
        <v>0.0652173913043478</v>
      </c>
      <c r="E4" s="1" t="n">
        <f aca="false">_xlfn.NORM.INV(D4,0,1)</f>
        <v>-1.51238958606768</v>
      </c>
      <c r="F4" s="1" t="n">
        <f aca="false">_xlfn.NORM.DIST(B4,$H$3,$H$4,0)</f>
        <v>0.00142135844937902</v>
      </c>
      <c r="G4" s="2" t="s">
        <v>8</v>
      </c>
      <c r="H4" s="0" t="n">
        <f aca="false">STDEV(B2:B41)</f>
        <v>100.960181920069</v>
      </c>
    </row>
    <row r="5" customFormat="false" ht="12.8" hidden="false" customHeight="false" outlineLevel="0" collapsed="false">
      <c r="A5" s="0" t="n">
        <v>1121</v>
      </c>
      <c r="B5" s="0" t="n">
        <v>1121</v>
      </c>
      <c r="C5" s="0" t="n">
        <v>4</v>
      </c>
      <c r="D5" s="1" t="n">
        <f aca="false">(C5-3/8)/($H$2+1/4)</f>
        <v>0.0900621118012422</v>
      </c>
      <c r="E5" s="1" t="n">
        <f aca="false">_xlfn.NORM.INV(D5,0,1)</f>
        <v>-1.34037264781591</v>
      </c>
      <c r="F5" s="1" t="n">
        <f aca="false">_xlfn.NORM.DIST(B5,$H$3,$H$4,0)</f>
        <v>0.00180520681904881</v>
      </c>
      <c r="G5" s="2"/>
    </row>
    <row r="6" customFormat="false" ht="12.8" hidden="false" customHeight="false" outlineLevel="0" collapsed="false">
      <c r="A6" s="0" t="n">
        <v>1132</v>
      </c>
      <c r="B6" s="0" t="n">
        <v>1132</v>
      </c>
      <c r="C6" s="0" t="n">
        <v>5</v>
      </c>
      <c r="D6" s="1" t="n">
        <f aca="false">(C6-3/8)/($H$2+1/4)</f>
        <v>0.114906832298137</v>
      </c>
      <c r="E6" s="1" t="n">
        <f aca="false">_xlfn.NORM.INV(D6,0,1)</f>
        <v>-1.20083898881393</v>
      </c>
      <c r="F6" s="1" t="n">
        <f aca="false">_xlfn.NORM.DIST(B6,$H$3,$H$4,0)</f>
        <v>0.0020567367252673</v>
      </c>
      <c r="G6" s="2" t="s">
        <v>9</v>
      </c>
    </row>
    <row r="7" customFormat="false" ht="12.8" hidden="false" customHeight="false" outlineLevel="0" collapsed="false">
      <c r="A7" s="0" t="n">
        <v>1185</v>
      </c>
      <c r="B7" s="0" t="n">
        <v>1135</v>
      </c>
      <c r="C7" s="0" t="n">
        <v>6</v>
      </c>
      <c r="D7" s="1" t="n">
        <f aca="false">(C7-3/8)/($H$2+1/4)</f>
        <v>0.139751552795031</v>
      </c>
      <c r="E7" s="1" t="n">
        <f aca="false">_xlfn.NORM.INV(D7,0,1)</f>
        <v>-1.08143624642783</v>
      </c>
      <c r="F7" s="1" t="n">
        <f aca="false">_xlfn.NORM.DIST(B7,$H$3,$H$4,0)</f>
        <v>0.00212683805978601</v>
      </c>
      <c r="G7" s="2" t="s">
        <v>10</v>
      </c>
    </row>
    <row r="8" customFormat="false" ht="12.8" hidden="false" customHeight="false" outlineLevel="0" collapsed="false">
      <c r="A8" s="0" t="n">
        <v>1191</v>
      </c>
      <c r="B8" s="0" t="n">
        <v>1137</v>
      </c>
      <c r="C8" s="0" t="n">
        <v>7</v>
      </c>
      <c r="D8" s="1" t="n">
        <f aca="false">(C8-3/8)/($H$2+1/4)</f>
        <v>0.164596273291925</v>
      </c>
      <c r="E8" s="1" t="n">
        <f aca="false">_xlfn.NORM.INV(D8,0,1)</f>
        <v>-0.975741569736452</v>
      </c>
      <c r="F8" s="1" t="n">
        <f aca="false">_xlfn.NORM.DIST(B8,$H$3,$H$4,0)</f>
        <v>0.00217382811092023</v>
      </c>
      <c r="G8" s="2"/>
    </row>
    <row r="9" customFormat="false" ht="12.8" hidden="false" customHeight="false" outlineLevel="0" collapsed="false">
      <c r="A9" s="0" t="n">
        <v>1199</v>
      </c>
      <c r="B9" s="0" t="n">
        <v>1143</v>
      </c>
      <c r="C9" s="0" t="n">
        <v>8</v>
      </c>
      <c r="D9" s="1" t="n">
        <f aca="false">(C9-3/8)/($H$2+1/4)</f>
        <v>0.18944099378882</v>
      </c>
      <c r="E9" s="1" t="n">
        <f aca="false">_xlfn.NORM.INV(D9,0,1)</f>
        <v>-0.879958138385173</v>
      </c>
      <c r="F9" s="1" t="n">
        <f aca="false">_xlfn.NORM.DIST(B9,$H$3,$H$4,0)</f>
        <v>0.00231566086794043</v>
      </c>
      <c r="G9" s="2"/>
    </row>
    <row r="10" customFormat="false" ht="12.8" hidden="false" customHeight="false" outlineLevel="0" collapsed="false">
      <c r="A10" s="0" t="n">
        <v>1200</v>
      </c>
      <c r="B10" s="0" t="n">
        <v>1154</v>
      </c>
      <c r="C10" s="0" t="n">
        <v>9</v>
      </c>
      <c r="D10" s="1" t="n">
        <f aca="false">(C10-3/8)/($H$2+1/4)</f>
        <v>0.214285714285714</v>
      </c>
      <c r="E10" s="1" t="n">
        <f aca="false">_xlfn.NORM.INV(D10,0,1)</f>
        <v>-0.791638607743375</v>
      </c>
      <c r="F10" s="1" t="n">
        <f aca="false">_xlfn.NORM.DIST(B10,$H$3,$H$4,0)</f>
        <v>0.00257641445106644</v>
      </c>
      <c r="G10" s="2" t="s">
        <v>11</v>
      </c>
      <c r="H10" s="0" t="n">
        <f aca="false">1-_xlfn.NORM.DIST(1000,1247.37,100.96018192,1)</f>
        <v>0.992860637719571</v>
      </c>
    </row>
    <row r="11" customFormat="false" ht="12.8" hidden="false" customHeight="false" outlineLevel="0" collapsed="false">
      <c r="A11" s="0" t="n">
        <v>1213</v>
      </c>
      <c r="B11" s="0" t="n">
        <v>1166</v>
      </c>
      <c r="C11" s="0" t="n">
        <v>10</v>
      </c>
      <c r="D11" s="1" t="n">
        <f aca="false">(C11-3/8)/($H$2+1/4)</f>
        <v>0.239130434782609</v>
      </c>
      <c r="E11" s="1" t="n">
        <f aca="false">_xlfn.NORM.INV(D11,0,1)</f>
        <v>-0.709102503409024</v>
      </c>
      <c r="F11" s="1" t="n">
        <f aca="false">_xlfn.NORM.DIST(B11,$H$3,$H$4,0)</f>
        <v>0.00285554813594804</v>
      </c>
      <c r="G11" s="2" t="s">
        <v>12</v>
      </c>
    </row>
    <row r="12" customFormat="false" ht="12.8" hidden="false" customHeight="false" outlineLevel="0" collapsed="false">
      <c r="A12" s="0" t="n">
        <v>1239</v>
      </c>
      <c r="B12" s="0" t="n">
        <v>1185</v>
      </c>
      <c r="C12" s="0" t="n">
        <v>11</v>
      </c>
      <c r="D12" s="1" t="n">
        <f aca="false">(C12-3/8)/($H$2+1/4)</f>
        <v>0.263975155279503</v>
      </c>
      <c r="E12" s="1" t="n">
        <f aca="false">_xlfn.NORM.INV(D12,0,1)</f>
        <v>-0.631137978608047</v>
      </c>
      <c r="F12" s="1" t="n">
        <f aca="false">_xlfn.NORM.DIST(B12,$H$3,$H$4,0)</f>
        <v>0.00326493910813799</v>
      </c>
      <c r="G12" s="2"/>
    </row>
    <row r="13" customFormat="false" ht="12.8" hidden="false" customHeight="false" outlineLevel="0" collapsed="false">
      <c r="A13" s="0" t="n">
        <v>1244</v>
      </c>
      <c r="B13" s="0" t="n">
        <v>1191</v>
      </c>
      <c r="C13" s="0" t="n">
        <v>12</v>
      </c>
      <c r="D13" s="1" t="n">
        <f aca="false">(C13-3/8)/($H$2+1/4)</f>
        <v>0.288819875776397</v>
      </c>
      <c r="E13" s="1" t="n">
        <f aca="false">_xlfn.NORM.INV(D13,0,1)</f>
        <v>-0.556835609770804</v>
      </c>
      <c r="F13" s="1" t="n">
        <f aca="false">_xlfn.NORM.DIST(B13,$H$3,$H$4,0)</f>
        <v>0.00338106825636126</v>
      </c>
      <c r="G13" s="2" t="s">
        <v>13</v>
      </c>
      <c r="H13" s="0" t="n">
        <f aca="false">_xlfn.NORM.DIST(1400,1247.37,100.96018192,1)-_xlfn.NORM.DIST(1200,1247.37,100.96018192,1)</f>
        <v>0.615240431038274</v>
      </c>
    </row>
    <row r="14" customFormat="false" ht="12.8" hidden="false" customHeight="false" outlineLevel="0" collapsed="false">
      <c r="A14" s="0" t="n">
        <v>1247</v>
      </c>
      <c r="B14" s="0" t="n">
        <v>1199</v>
      </c>
      <c r="C14" s="0" t="n">
        <v>13</v>
      </c>
      <c r="D14" s="1" t="n">
        <f aca="false">(C14-3/8)/($H$2+1/4)</f>
        <v>0.313664596273292</v>
      </c>
      <c r="E14" s="1" t="n">
        <f aca="false">_xlfn.NORM.INV(D14,0,1)</f>
        <v>-0.485489452829721</v>
      </c>
      <c r="F14" s="1" t="n">
        <f aca="false">_xlfn.NORM.DIST(B14,$H$3,$H$4,0)</f>
        <v>0.00352294934747355</v>
      </c>
      <c r="G14" s="2" t="s">
        <v>14</v>
      </c>
    </row>
    <row r="15" customFormat="false" ht="12.8" hidden="false" customHeight="false" outlineLevel="0" collapsed="false">
      <c r="A15" s="0" t="n">
        <v>1258</v>
      </c>
      <c r="B15" s="0" t="n">
        <v>1200</v>
      </c>
      <c r="C15" s="0" t="n">
        <v>14</v>
      </c>
      <c r="D15" s="1" t="n">
        <f aca="false">(C15-3/8)/($H$2+1/4)</f>
        <v>0.338509316770186</v>
      </c>
      <c r="E15" s="1" t="n">
        <f aca="false">_xlfn.NORM.INV(D15,0,1)</f>
        <v>-0.416534901828723</v>
      </c>
      <c r="F15" s="1" t="n">
        <f aca="false">_xlfn.NORM.DIST(B15,$H$3,$H$4,0)</f>
        <v>0.00353953510258032</v>
      </c>
    </row>
    <row r="16" customFormat="false" ht="12.8" hidden="false" customHeight="false" outlineLevel="0" collapsed="false">
      <c r="A16" s="0" t="n">
        <v>1269</v>
      </c>
      <c r="B16" s="0" t="n">
        <v>1213</v>
      </c>
      <c r="C16" s="0" t="n">
        <v>15</v>
      </c>
      <c r="D16" s="1" t="n">
        <f aca="false">(C16-3/8)/($H$2+1/4)</f>
        <v>0.363354037267081</v>
      </c>
      <c r="E16" s="1" t="n">
        <f aca="false">_xlfn.NORM.INV(D16,0,1)</f>
        <v>-0.349507855309863</v>
      </c>
      <c r="F16" s="1" t="n">
        <f aca="false">_xlfn.NORM.DIST(B16,$H$3,$H$4,0)</f>
        <v>0.00372895103159399</v>
      </c>
    </row>
    <row r="17" customFormat="false" ht="12.8" hidden="false" customHeight="false" outlineLevel="0" collapsed="false">
      <c r="A17" s="0" t="n">
        <v>1307</v>
      </c>
      <c r="B17" s="0" t="n">
        <v>1214</v>
      </c>
      <c r="C17" s="0" t="n">
        <v>16</v>
      </c>
      <c r="D17" s="1" t="n">
        <f aca="false">(C17-3/8)/($H$2+1/4)</f>
        <v>0.388198757763975</v>
      </c>
      <c r="E17" s="1" t="n">
        <f aca="false">_xlfn.NORM.INV(D17,0,1)</f>
        <v>-0.284016787609739</v>
      </c>
      <c r="F17" s="1" t="n">
        <f aca="false">_xlfn.NORM.DIST(B17,$H$3,$H$4,0)</f>
        <v>0.00374136434145326</v>
      </c>
    </row>
    <row r="18" customFormat="false" ht="12.8" hidden="false" customHeight="false" outlineLevel="0" collapsed="false">
      <c r="A18" s="0" t="n">
        <v>1325</v>
      </c>
      <c r="B18" s="0" t="n">
        <v>1215</v>
      </c>
      <c r="C18" s="0" t="n">
        <v>17</v>
      </c>
      <c r="D18" s="1" t="n">
        <f aca="false">(C18-3/8)/($H$2+1/4)</f>
        <v>0.41304347826087</v>
      </c>
      <c r="E18" s="1" t="n">
        <f aca="false">_xlfn.NORM.INV(D18,0,1)</f>
        <v>-0.21972291581858</v>
      </c>
      <c r="F18" s="1" t="n">
        <f aca="false">_xlfn.NORM.DIST(B18,$H$3,$H$4,0)</f>
        <v>0.00375345071634954</v>
      </c>
    </row>
    <row r="19" customFormat="false" ht="12.8" hidden="false" customHeight="false" outlineLevel="0" collapsed="false">
      <c r="A19" s="0" t="n">
        <v>1345</v>
      </c>
      <c r="B19" s="0" t="n">
        <v>1219</v>
      </c>
      <c r="C19" s="0" t="n">
        <v>18</v>
      </c>
      <c r="D19" s="1" t="n">
        <f aca="false">(C19-3/8)/($H$2+1/4)</f>
        <v>0.437888198757764</v>
      </c>
      <c r="E19" s="1" t="n">
        <f aca="false">_xlfn.NORM.INV(D19,0,1)</f>
        <v>-0.156325575894448</v>
      </c>
      <c r="F19" s="1" t="n">
        <f aca="false">_xlfn.NORM.DIST(B19,$H$3,$H$4,0)</f>
        <v>0.00379845954511951</v>
      </c>
    </row>
    <row r="20" customFormat="false" ht="12.8" hidden="false" customHeight="false" outlineLevel="0" collapsed="false">
      <c r="A20" s="0" t="n">
        <v>1356</v>
      </c>
      <c r="B20" s="0" t="n">
        <v>1219</v>
      </c>
      <c r="C20" s="0" t="n">
        <v>19</v>
      </c>
      <c r="D20" s="1" t="n">
        <f aca="false">(C20-3/8)/($H$2+1/4)</f>
        <v>0.462732919254658</v>
      </c>
      <c r="E20" s="1" t="n">
        <f aca="false">_xlfn.NORM.INV(D20,0,1)</f>
        <v>-0.0935509957864241</v>
      </c>
      <c r="F20" s="1" t="n">
        <f aca="false">_xlfn.NORM.DIST(B20,$H$3,$H$4,0)</f>
        <v>0.00379845954511951</v>
      </c>
    </row>
    <row r="21" customFormat="false" ht="12.8" hidden="false" customHeight="false" outlineLevel="0" collapsed="false">
      <c r="A21" s="0" t="n">
        <v>1363</v>
      </c>
      <c r="B21" s="0" t="n">
        <v>1228</v>
      </c>
      <c r="C21" s="0" t="n">
        <v>20</v>
      </c>
      <c r="D21" s="1" t="n">
        <f aca="false">(C21-3/8)/($H$2+1/4)</f>
        <v>0.487577639751553</v>
      </c>
      <c r="E21" s="1" t="n">
        <f aca="false">_xlfn.NORM.INV(D21,0,1)</f>
        <v>-0.0311432730320925</v>
      </c>
      <c r="F21" s="1" t="n">
        <f aca="false">_xlfn.NORM.DIST(B21,$H$3,$H$4,0)</f>
        <v>0.00387938381878211</v>
      </c>
    </row>
    <row r="22" customFormat="false" ht="12.8" hidden="false" customHeight="false" outlineLevel="0" collapsed="false">
      <c r="A22" s="0" t="n">
        <v>1135</v>
      </c>
      <c r="B22" s="0" t="n">
        <v>1239</v>
      </c>
      <c r="C22" s="0" t="n">
        <v>21</v>
      </c>
      <c r="D22" s="1" t="n">
        <f aca="false">(C22-3/8)/($H$2+1/4)</f>
        <v>0.512422360248447</v>
      </c>
      <c r="E22" s="1" t="n">
        <f aca="false">_xlfn.NORM.INV(D22,0,1)</f>
        <v>0.0311432730320925</v>
      </c>
      <c r="F22" s="1" t="n">
        <f aca="false">_xlfn.NORM.DIST(B22,$H$3,$H$4,0)</f>
        <v>0.00393790912640659</v>
      </c>
    </row>
    <row r="23" customFormat="false" ht="12.8" hidden="false" customHeight="false" outlineLevel="0" collapsed="false">
      <c r="A23" s="0" t="n">
        <v>1137</v>
      </c>
      <c r="B23" s="0" t="n">
        <v>1244</v>
      </c>
      <c r="C23" s="0" t="n">
        <v>22</v>
      </c>
      <c r="D23" s="1" t="n">
        <f aca="false">(C23-3/8)/($H$2+1/4)</f>
        <v>0.537267080745342</v>
      </c>
      <c r="E23" s="1" t="n">
        <f aca="false">_xlfn.NORM.INV(D23,0,1)</f>
        <v>0.093550995786424</v>
      </c>
      <c r="F23" s="1" t="n">
        <f aca="false">_xlfn.NORM.DIST(B23,$H$3,$H$4,0)</f>
        <v>0.00394927412172913</v>
      </c>
    </row>
    <row r="24" customFormat="false" ht="12.8" hidden="false" customHeight="false" outlineLevel="0" collapsed="false">
      <c r="A24" s="0" t="n">
        <v>1143</v>
      </c>
      <c r="B24" s="0" t="n">
        <v>1247</v>
      </c>
      <c r="C24" s="0" t="n">
        <v>23</v>
      </c>
      <c r="D24" s="1" t="n">
        <f aca="false">(C24-3/8)/($H$2+1/4)</f>
        <v>0.562111801242236</v>
      </c>
      <c r="E24" s="1" t="n">
        <f aca="false">_xlfn.NORM.INV(D24,0,1)</f>
        <v>0.156325575894448</v>
      </c>
      <c r="F24" s="1" t="n">
        <f aca="false">_xlfn.NORM.DIST(B24,$H$3,$H$4,0)</f>
        <v>0.00395145413629753</v>
      </c>
    </row>
    <row r="25" customFormat="false" ht="12.8" hidden="false" customHeight="false" outlineLevel="0" collapsed="false">
      <c r="A25" s="0" t="n">
        <v>1154</v>
      </c>
      <c r="B25" s="0" t="n">
        <v>1258</v>
      </c>
      <c r="C25" s="0" t="n">
        <v>24</v>
      </c>
      <c r="D25" s="1" t="n">
        <f aca="false">(C25-3/8)/($H$2+1/4)</f>
        <v>0.58695652173913</v>
      </c>
      <c r="E25" s="1" t="n">
        <f aca="false">_xlfn.NORM.INV(D25,0,1)</f>
        <v>0.21972291581858</v>
      </c>
      <c r="F25" s="1" t="n">
        <f aca="false">_xlfn.NORM.DIST(B25,$H$3,$H$4,0)</f>
        <v>0.00392965984197063</v>
      </c>
    </row>
    <row r="26" customFormat="false" ht="12.8" hidden="false" customHeight="false" outlineLevel="0" collapsed="false">
      <c r="A26" s="0" t="n">
        <v>1166</v>
      </c>
      <c r="B26" s="0" t="n">
        <v>1269</v>
      </c>
      <c r="C26" s="0" t="n">
        <v>25</v>
      </c>
      <c r="D26" s="1" t="n">
        <f aca="false">(C26-3/8)/($H$2+1/4)</f>
        <v>0.611801242236025</v>
      </c>
      <c r="E26" s="1" t="n">
        <f aca="false">_xlfn.NORM.INV(D26,0,1)</f>
        <v>0.284016787609739</v>
      </c>
      <c r="F26" s="1" t="n">
        <f aca="false">_xlfn.NORM.DIST(B26,$H$3,$H$4,0)</f>
        <v>0.00386186855751689</v>
      </c>
    </row>
    <row r="27" customFormat="false" ht="12.8" hidden="false" customHeight="false" outlineLevel="0" collapsed="false">
      <c r="A27" s="0" t="n">
        <v>1214</v>
      </c>
      <c r="B27" s="0" t="n">
        <v>1270</v>
      </c>
      <c r="C27" s="0" t="n">
        <v>26</v>
      </c>
      <c r="D27" s="1" t="n">
        <f aca="false">(C27-3/8)/($H$2+1/4)</f>
        <v>0.636645962732919</v>
      </c>
      <c r="E27" s="1" t="n">
        <f aca="false">_xlfn.NORM.INV(D27,0,1)</f>
        <v>0.349507855309863</v>
      </c>
      <c r="F27" s="1" t="n">
        <f aca="false">_xlfn.NORM.DIST(B27,$H$3,$H$4,0)</f>
        <v>0.00385349501440883</v>
      </c>
    </row>
    <row r="28" customFormat="false" ht="12.8" hidden="false" customHeight="false" outlineLevel="0" collapsed="false">
      <c r="A28" s="0" t="n">
        <v>1215</v>
      </c>
      <c r="B28" s="0" t="n">
        <v>1279</v>
      </c>
      <c r="C28" s="0" t="n">
        <v>27</v>
      </c>
      <c r="D28" s="1" t="n">
        <f aca="false">(C28-3/8)/($H$2+1/4)</f>
        <v>0.661490683229814</v>
      </c>
      <c r="E28" s="1" t="n">
        <f aca="false">_xlfn.NORM.INV(D28,0,1)</f>
        <v>0.416534901828723</v>
      </c>
      <c r="F28" s="1" t="n">
        <f aca="false">_xlfn.NORM.DIST(B28,$H$3,$H$4,0)</f>
        <v>0.00376229887902498</v>
      </c>
    </row>
    <row r="29" customFormat="false" ht="12.8" hidden="false" customHeight="false" outlineLevel="0" collapsed="false">
      <c r="A29" s="0" t="n">
        <v>1219</v>
      </c>
      <c r="B29" s="0" t="n">
        <v>1293</v>
      </c>
      <c r="C29" s="0" t="n">
        <v>28</v>
      </c>
      <c r="D29" s="1" t="n">
        <f aca="false">(C29-3/8)/($H$2+1/4)</f>
        <v>0.686335403726708</v>
      </c>
      <c r="E29" s="1" t="n">
        <f aca="false">_xlfn.NORM.INV(D29,0,1)</f>
        <v>0.485489452829721</v>
      </c>
      <c r="F29" s="1" t="n">
        <f aca="false">_xlfn.NORM.DIST(B29,$H$3,$H$4,0)</f>
        <v>0.00356790591121711</v>
      </c>
    </row>
    <row r="30" customFormat="false" ht="12.8" hidden="false" customHeight="false" outlineLevel="0" collapsed="false">
      <c r="A30" s="0" t="n">
        <v>1219</v>
      </c>
      <c r="B30" s="0" t="n">
        <v>1294</v>
      </c>
      <c r="C30" s="0" t="n">
        <v>29</v>
      </c>
      <c r="D30" s="1" t="n">
        <f aca="false">(C30-3/8)/($H$2+1/4)</f>
        <v>0.711180124223602</v>
      </c>
      <c r="E30" s="1" t="n">
        <f aca="false">_xlfn.NORM.INV(D30,0,1)</f>
        <v>0.556835609770804</v>
      </c>
      <c r="F30" s="1" t="n">
        <f aca="false">_xlfn.NORM.DIST(B30,$H$3,$H$4,0)</f>
        <v>0.00355179696012489</v>
      </c>
    </row>
    <row r="31" customFormat="false" ht="12.8" hidden="false" customHeight="false" outlineLevel="0" collapsed="false">
      <c r="A31" s="0" t="n">
        <v>1228</v>
      </c>
      <c r="B31" s="0" t="n">
        <v>1295</v>
      </c>
      <c r="C31" s="0" t="n">
        <v>30</v>
      </c>
      <c r="D31" s="1" t="n">
        <f aca="false">(C31-3/8)/($H$2+1/4)</f>
        <v>0.736024844720497</v>
      </c>
      <c r="E31" s="1" t="n">
        <f aca="false">_xlfn.NORM.INV(D31,0,1)</f>
        <v>0.631137978608047</v>
      </c>
      <c r="F31" s="1" t="n">
        <f aca="false">_xlfn.NORM.DIST(B31,$H$3,$H$4,0)</f>
        <v>0.00353541387462794</v>
      </c>
    </row>
    <row r="32" customFormat="false" ht="12.8" hidden="false" customHeight="false" outlineLevel="0" collapsed="false">
      <c r="A32" s="0" t="n">
        <v>1270</v>
      </c>
      <c r="B32" s="0" t="n">
        <v>1307</v>
      </c>
      <c r="C32" s="0" t="n">
        <v>31</v>
      </c>
      <c r="D32" s="1" t="n">
        <f aca="false">(C32-3/8)/($H$2+1/4)</f>
        <v>0.760869565217391</v>
      </c>
      <c r="E32" s="1" t="n">
        <f aca="false">_xlfn.NORM.INV(D32,0,1)</f>
        <v>0.709102503409024</v>
      </c>
      <c r="F32" s="1" t="n">
        <f aca="false">_xlfn.NORM.DIST(B32,$H$3,$H$4,0)</f>
        <v>0.00331911623313813</v>
      </c>
    </row>
    <row r="33" customFormat="false" ht="12.8" hidden="false" customHeight="false" outlineLevel="0" collapsed="false">
      <c r="A33" s="0" t="n">
        <v>1279</v>
      </c>
      <c r="B33" s="0" t="n">
        <v>1325</v>
      </c>
      <c r="C33" s="0" t="n">
        <v>32</v>
      </c>
      <c r="D33" s="1" t="n">
        <f aca="false">(C33-3/8)/($H$2+1/4)</f>
        <v>0.785714285714286</v>
      </c>
      <c r="E33" s="1" t="n">
        <f aca="false">_xlfn.NORM.INV(D33,0,1)</f>
        <v>0.791638607743375</v>
      </c>
      <c r="F33" s="1" t="n">
        <f aca="false">_xlfn.NORM.DIST(B33,$H$3,$H$4,0)</f>
        <v>0.00294030097675767</v>
      </c>
    </row>
    <row r="34" customFormat="false" ht="12.8" hidden="false" customHeight="false" outlineLevel="0" collapsed="false">
      <c r="A34" s="0" t="n">
        <v>1293</v>
      </c>
      <c r="B34" s="0" t="n">
        <v>1345</v>
      </c>
      <c r="C34" s="0" t="n">
        <v>33</v>
      </c>
      <c r="D34" s="1" t="n">
        <f aca="false">(C34-3/8)/($H$2+1/4)</f>
        <v>0.81055900621118</v>
      </c>
      <c r="E34" s="1" t="n">
        <f aca="false">_xlfn.NORM.INV(D34,0,1)</f>
        <v>0.879958138385173</v>
      </c>
      <c r="F34" s="1" t="n">
        <f aca="false">_xlfn.NORM.DIST(B34,$H$3,$H$4,0)</f>
        <v>0.00247583949520716</v>
      </c>
    </row>
    <row r="35" customFormat="false" ht="12.8" hidden="false" customHeight="false" outlineLevel="0" collapsed="false">
      <c r="A35" s="0" t="n">
        <v>1294</v>
      </c>
      <c r="B35" s="0" t="n">
        <v>1356</v>
      </c>
      <c r="C35" s="0" t="n">
        <v>34</v>
      </c>
      <c r="D35" s="1" t="n">
        <f aca="false">(C35-3/8)/($H$2+1/4)</f>
        <v>0.835403726708075</v>
      </c>
      <c r="E35" s="1" t="n">
        <f aca="false">_xlfn.NORM.INV(D35,0,1)</f>
        <v>0.975741569736452</v>
      </c>
      <c r="F35" s="1" t="n">
        <f aca="false">_xlfn.NORM.DIST(B35,$H$3,$H$4,0)</f>
        <v>0.0022150820884217</v>
      </c>
    </row>
    <row r="36" customFormat="false" ht="12.8" hidden="false" customHeight="false" outlineLevel="0" collapsed="false">
      <c r="A36" s="0" t="n">
        <v>1295</v>
      </c>
      <c r="B36" s="0" t="n">
        <v>1363</v>
      </c>
      <c r="C36" s="0" t="n">
        <v>35</v>
      </c>
      <c r="D36" s="1" t="n">
        <f aca="false">(C36-3/8)/($H$2+1/4)</f>
        <v>0.860248447204969</v>
      </c>
      <c r="E36" s="1" t="n">
        <f aca="false">_xlfn.NORM.INV(D36,0,1)</f>
        <v>1.08143624642783</v>
      </c>
      <c r="F36" s="1" t="n">
        <f aca="false">_xlfn.NORM.DIST(B36,$H$3,$H$4,0)</f>
        <v>0.00205091856809458</v>
      </c>
    </row>
    <row r="37" customFormat="false" ht="12.8" hidden="false" customHeight="false" outlineLevel="0" collapsed="false">
      <c r="A37" s="0" t="n">
        <v>1377</v>
      </c>
      <c r="B37" s="0" t="n">
        <v>1377</v>
      </c>
      <c r="C37" s="0" t="n">
        <v>36</v>
      </c>
      <c r="D37" s="1" t="n">
        <f aca="false">(C37-3/8)/($H$2+1/4)</f>
        <v>0.885093167701863</v>
      </c>
      <c r="E37" s="1" t="n">
        <f aca="false">_xlfn.NORM.INV(D37,0,1)</f>
        <v>1.20083898881393</v>
      </c>
      <c r="F37" s="1" t="n">
        <f aca="false">_xlfn.NORM.DIST(B37,$H$3,$H$4,0)</f>
        <v>0.00173301501939355</v>
      </c>
    </row>
    <row r="38" customFormat="false" ht="12.8" hidden="false" customHeight="false" outlineLevel="0" collapsed="false">
      <c r="A38" s="0" t="n">
        <v>1402</v>
      </c>
      <c r="B38" s="0" t="n">
        <v>1402</v>
      </c>
      <c r="C38" s="0" t="n">
        <v>37</v>
      </c>
      <c r="D38" s="1" t="n">
        <f aca="false">(C38-3/8)/($H$2+1/4)</f>
        <v>0.909937888198758</v>
      </c>
      <c r="E38" s="1" t="n">
        <f aca="false">_xlfn.NORM.INV(D38,0,1)</f>
        <v>1.34037264781591</v>
      </c>
      <c r="F38" s="1" t="n">
        <f aca="false">_xlfn.NORM.DIST(B38,$H$3,$H$4,0)</f>
        <v>0.00122296280013934</v>
      </c>
    </row>
    <row r="39" customFormat="false" ht="12.8" hidden="false" customHeight="false" outlineLevel="0" collapsed="false">
      <c r="A39" s="0" t="n">
        <v>1419</v>
      </c>
      <c r="B39" s="0" t="n">
        <v>1419</v>
      </c>
      <c r="C39" s="0" t="n">
        <v>38</v>
      </c>
      <c r="D39" s="1" t="n">
        <f aca="false">(C39-3/8)/($H$2+1/4)</f>
        <v>0.934782608695652</v>
      </c>
      <c r="E39" s="1" t="n">
        <f aca="false">_xlfn.NORM.INV(D39,0,1)</f>
        <v>1.51238958606768</v>
      </c>
      <c r="F39" s="1" t="n">
        <f aca="false">_xlfn.NORM.DIST(B39,$H$3,$H$4,0)</f>
        <v>0.000931660890596358</v>
      </c>
    </row>
    <row r="40" customFormat="false" ht="12.8" hidden="false" customHeight="false" outlineLevel="0" collapsed="false">
      <c r="A40" s="0" t="n">
        <v>1440</v>
      </c>
      <c r="B40" s="0" t="n">
        <v>1440</v>
      </c>
      <c r="C40" s="0" t="n">
        <v>39</v>
      </c>
      <c r="D40" s="1" t="n">
        <f aca="false">(C40-3/8)/($H$2+1/4)</f>
        <v>0.959627329192547</v>
      </c>
      <c r="E40" s="1" t="n">
        <f aca="false">_xlfn.NORM.INV(D40,0,1)</f>
        <v>1.7463777039325</v>
      </c>
      <c r="F40" s="1" t="n">
        <f aca="false">_xlfn.NORM.DIST(B40,$H$3,$H$4,0)</f>
        <v>0.000640178231074448</v>
      </c>
    </row>
    <row r="41" customFormat="false" ht="12.8" hidden="false" customHeight="false" outlineLevel="0" collapsed="false">
      <c r="A41" s="0" t="n">
        <v>1514</v>
      </c>
      <c r="B41" s="0" t="n">
        <v>1514</v>
      </c>
      <c r="C41" s="0" t="n">
        <v>40</v>
      </c>
      <c r="D41" s="1" t="n">
        <f aca="false">(C41-3/8)/($H$2+1/4)</f>
        <v>0.984472049689441</v>
      </c>
      <c r="E41" s="1" t="n">
        <f aca="false">_xlfn.NORM.INV(D41,0,1)</f>
        <v>2.15635570519183</v>
      </c>
      <c r="F41" s="1" t="n">
        <f aca="false">_xlfn.NORM.DIST(B41,$H$3,$H$4,0)</f>
        <v>0.000120866773287511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2021-05-29T20:35:12Z</dcterms:created>
  <dc:creator/>
  <dc:description/>
  <dc:language>en-US</dc:language>
  <cp:lastModifiedBy/>
  <dcterms:modified xsi:type="dcterms:W3CDTF">2021-05-29T21:00:00Z</dcterms:modified>
  <cp:revision>2</cp:revision>
  <dc:subject/>
  <dc:title/>
</cp:coreProperties>
</file>