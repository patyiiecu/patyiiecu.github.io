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<sst xmlns="http://schemas.openxmlformats.org/spreadsheetml/2006/main" count="19" uniqueCount="19">
  <si>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mean</t>
  </si>
  <si>
    <t xml:space="preserve">median</t>
  </si>
  <si>
    <t xml:space="preserve">mode</t>
  </si>
  <si>
    <t xml:space="preserve">Column 1</t>
  </si>
  <si>
    <t xml:space="preserve">Mean</t>
  </si>
  <si>
    <t xml:space="preserve">Standard Error</t>
  </si>
  <si>
    <t xml:space="preserve">Mode</t>
  </si>
  <si>
    <t xml:space="preserve">Median</t>
  </si>
  <si>
    <t xml:space="preserve">First Quartile </t>
  </si>
  <si>
    <t xml:space="preserve">Third Quartile</t>
  </si>
  <si>
    <t xml:space="preserve">Variance</t>
  </si>
  <si>
    <t xml:space="preserve">Standard Deviation</t>
  </si>
  <si>
    <t xml:space="preserve">Kurtosis</t>
  </si>
  <si>
    <t xml:space="preserve">Skewness</t>
  </si>
  <si>
    <t xml:space="preserve">Range</t>
  </si>
  <si>
    <t xml:space="preserve">Minimum</t>
  </si>
  <si>
    <t xml:space="preserve">Maximum</t>
  </si>
  <si>
    <t xml:space="preserve">Sum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</si>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</sst>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RowHeight="12.8"/>
  <cols>
    <col collapsed="false" hidden="false" max="1" min="1" style="0" width="17.4489795918367"/>
    <col collapsed="false" hidden="false" max="1025" min="2" style="0" width="11.5204081632653"/>
  </cols>
  <sheetData>
    <row r="1" customFormat="false" ht="12.8" hidden="false" customHeight="false" outlineLevel="0" collapsed="false">
      <c r="A1" s="0" t="n">
        <v>34</v>
      </c>
      <c r="C1" s="0" t="s">
        <v>0</v>
      </c>
      <c r="D1" s="0" t="n">
        <f aca="false">AVERAGE(A1:A6)</f>
        <v>30.5166666666667</v>
      </c>
    </row>
    <row r="2" customFormat="false" ht="12.8" hidden="false" customHeight="false" outlineLevel="0" collapsed="false">
      <c r="A2" s="0" t="n">
        <v>33.2</v>
      </c>
      <c r="C2" s="0" t="s">
        <v>1</v>
      </c>
      <c r="D2" s="0" t="n">
        <f aca="false">MEDIAN(A1:A6)</f>
        <v>31.3</v>
      </c>
    </row>
    <row r="3" customFormat="false" ht="12.8" hidden="false" customHeight="false" outlineLevel="0" collapsed="false">
      <c r="A3" s="0" t="n">
        <v>37</v>
      </c>
      <c r="C3" s="0" t="s">
        <v>2</v>
      </c>
      <c r="D3" s="0" t="e">
        <f aca="false">MODE(A1:A6)</f>
        <v>#VALUE!</v>
      </c>
    </row>
    <row r="4" customFormat="false" ht="12.8" hidden="false" customHeight="false" outlineLevel="0" collapsed="false">
      <c r="A4" s="0" t="n">
        <v>29.4</v>
      </c>
    </row>
    <row r="5" customFormat="false" ht="12.8" hidden="false" customHeight="false" outlineLevel="0" collapsed="false">
      <c r="A5" s="0" t="n">
        <v>23.6</v>
      </c>
    </row>
    <row r="6" customFormat="false" ht="12.8" hidden="false" customHeight="false" outlineLevel="0" collapsed="false">
      <c r="A6" s="0" t="n">
        <v>25.9</v>
      </c>
    </row>
    <row r="8" customFormat="false" ht="12.8" hidden="false" customHeight="false" outlineLevel="0" collapsed="false">
      <c r="B8" s="1" t="s">
        <v>3</v>
      </c>
    </row>
    <row r="9" customFormat="false" ht="12.8" hidden="false" customHeight="false" outlineLevel="0" collapsed="false">
      <c r="A9" s="0" t="s">
        <v>4</v>
      </c>
      <c r="B9" s="0" t="n">
        <f aca="false">AVERAGE($A$1:$A$6)</f>
        <v>30.5166666666667</v>
      </c>
    </row>
    <row r="10" customFormat="false" ht="12.8" hidden="false" customHeight="false" outlineLevel="0" collapsed="false">
      <c r="A10" s="0" t="s">
        <v>5</v>
      </c>
      <c r="B10" s="0" t="n">
        <f aca="false">SQRT(VAR($A$1:$A$6)/COUNT($A$1:$A$6))</f>
        <v>2.09577617549627</v>
      </c>
    </row>
    <row r="11" customFormat="false" ht="12.8" hidden="false" customHeight="false" outlineLevel="0" collapsed="false">
      <c r="A11" s="0" t="s">
        <v>6</v>
      </c>
      <c r="B11" s="0" t="e">
        <f aca="false">MODE($A$1:$A$6)</f>
        <v>#VALUE!</v>
      </c>
    </row>
    <row r="12" customFormat="false" ht="12.8" hidden="false" customHeight="false" outlineLevel="0" collapsed="false">
      <c r="A12" s="0" t="s">
        <v>7</v>
      </c>
      <c r="B12" s="0" t="n">
        <f aca="false">MEDIAN($A$1:$A$6)</f>
        <v>31.3</v>
      </c>
    </row>
    <row r="13" customFormat="false" ht="12.8" hidden="false" customHeight="false" outlineLevel="0" collapsed="false">
      <c r="A13" s="0" t="s">
        <v>8</v>
      </c>
      <c r="B13" s="0" t="n">
        <f aca="false">QUARTILE($A$1:$A$6, 1)</f>
        <v>26.775</v>
      </c>
    </row>
    <row r="14" customFormat="false" ht="12.8" hidden="false" customHeight="false" outlineLevel="0" collapsed="false">
      <c r="A14" s="0" t="s">
        <v>9</v>
      </c>
      <c r="B14" s="0" t="n">
        <f aca="false">QUARTILE($A$1:$A$6, 3)</f>
        <v>33.8</v>
      </c>
    </row>
    <row r="15" customFormat="false" ht="12.8" hidden="false" customHeight="false" outlineLevel="0" collapsed="false">
      <c r="A15" s="0" t="s">
        <v>10</v>
      </c>
      <c r="B15" s="0" t="n">
        <f aca="false">VAR($A$1:$A$6)</f>
        <v>26.3536666666667</v>
      </c>
    </row>
    <row r="16" customFormat="false" ht="12.8" hidden="false" customHeight="false" outlineLevel="0" collapsed="false">
      <c r="A16" s="0" t="s">
        <v>11</v>
      </c>
      <c r="B16" s="0" t="n">
        <f aca="false">STDEV($A$1:$A$6)</f>
        <v>5.13358224504747</v>
      </c>
    </row>
    <row r="17" customFormat="false" ht="12.8" hidden="false" customHeight="false" outlineLevel="0" collapsed="false">
      <c r="A17" s="0" t="s">
        <v>12</v>
      </c>
      <c r="B17" s="0" t="n">
        <f aca="false">KURT($A$1:$A$6)</f>
        <v>-1.50239413314152</v>
      </c>
    </row>
    <row r="18" customFormat="false" ht="12.8" hidden="false" customHeight="false" outlineLevel="0" collapsed="false">
      <c r="A18" s="0" t="s">
        <v>13</v>
      </c>
      <c r="B18" s="0" t="n">
        <f aca="false">SKEW($A$1:$A$6)</f>
        <v>-0.214167406873647</v>
      </c>
    </row>
    <row r="19" customFormat="false" ht="12.8" hidden="false" customHeight="false" outlineLevel="0" collapsed="false">
      <c r="A19" s="0" t="s">
        <v>14</v>
      </c>
      <c r="B19" s="0" t="n">
        <f aca="false">MAX($A$1:$A$6)-MIN($A$1:$A$6)</f>
        <v>13.4</v>
      </c>
    </row>
    <row r="20" customFormat="false" ht="12.8" hidden="false" customHeight="false" outlineLevel="0" collapsed="false">
      <c r="A20" s="0" t="s">
        <v>15</v>
      </c>
      <c r="B20" s="0" t="n">
        <f aca="false">MIN($A$1:$A$6)</f>
        <v>23.6</v>
      </c>
    </row>
    <row r="21" customFormat="false" ht="12.8" hidden="false" customHeight="false" outlineLevel="0" collapsed="false">
      <c r="A21" s="0" t="s">
        <v>16</v>
      </c>
      <c r="B21" s="0" t="n">
        <f aca="false">MAX($A$1:$A$6)</f>
        <v>37</v>
      </c>
    </row>
    <row r="22" customFormat="false" ht="12.8" hidden="false" customHeight="false" outlineLevel="0" collapsed="false">
      <c r="A22" s="0" t="s">
        <v>17</v>
      </c>
      <c r="B22" s="0" t="n">
        <f aca="false">SUM($A$1:$A$6)</f>
        <v>183.1</v>
      </c>
    </row>
    <row r="23" customFormat="false" ht="12.8" hidden="false" customHeight="false" outlineLevel="0" collapsed="false">
      <c r="A23" s="0" t="s">
        <v>18</v>
      </c>
      <c r="B23" s="0" t="n">
        <f aca="false">COUNT($A$1:$A$6)</f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2021-05-12T23:15:06Z</dcterms:created>
  <dc:creator/>
  <dc:description/>
  <dc:language>en-US</dc:language>
  <cp:lastModifiedBy/>
  <dcterms:modified xsi:type="dcterms:W3CDTF">2021-05-12T23:18:40Z</dcterms:modified>
  <cp:revision>1</cp:revision>
  <dc:subject/>
  <dc:title/>
</cp:coreProperties>
</file>