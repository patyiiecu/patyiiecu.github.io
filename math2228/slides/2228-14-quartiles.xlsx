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<sst xmlns="http://schemas.openxmlformats.org/spreadsheetml/2006/main" count="13" uniqueCount="13">
  <si>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Data </t>
  </si>
  <si>
    <t xml:space="preserve">median()</t>
  </si>
  <si>
    <t xml:space="preserve">quartile.exc()</t>
  </si>
  <si>
    <t xml:space="preserve">quartile.inc()</t>
  </si>
  <si>
    <t xml:space="preserve">Q_0</t>
  </si>
  <si>
    <t xml:space="preserve">Q_1</t>
  </si>
  <si>
    <t xml:space="preserve">25.5 is the median without the minimum</t>
  </si>
  <si>
    <t xml:space="preserve">Q_2</t>
  </si>
  <si>
    <t xml:space="preserve">Q_3</t>
  </si>
  <si>
    <t xml:space="preserve">42.5 is the median without the maximum</t>
  </si>
  <si>
    <t xml:space="preserve">Q_4</t>
  </si>
  <si>
    <t xml:space="preserve">IQR</t>
  </si>
  <si>
    <t xml:space="preserve"> = 43-15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</si>
</sst>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DDDDDD"/>
      </patternFill>
    </fill>
    <fill>
      <patternFill patternType="solid">
        <fgColor rgb="FFDDDDDD"/>
        <bgColor rgb="FFEEEE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6" activeCellId="0" sqref="D16"/>
    </sheetView>
  </sheetViews>
  <sheetFormatPr defaultRowHeight="12.8"/>
  <cols>
    <col collapsed="false" hidden="false" max="1" min="1" style="0" width="5.77040816326531"/>
    <col collapsed="false" hidden="false" max="2" min="2" style="0" width="8.41326530612245"/>
    <col collapsed="false" hidden="false" max="3" min="3" style="0" width="11.6887755102041"/>
    <col collapsed="false" hidden="false" max="4" min="4" style="0" width="11.1428571428571"/>
    <col collapsed="false" hidden="false" max="5" min="5" style="0" width="4.35714285714286"/>
    <col collapsed="false" hidden="false" max="6" min="6" style="0" width="4.9030612244898"/>
    <col collapsed="false" hidden="false" max="7" min="7" style="0" width="32.4183673469388"/>
    <col collapsed="false" hidden="false" max="8" min="8" style="0" width="6.45918367346939"/>
    <col collapsed="false" hidden="false" max="9" min="9" style="0" width="4.43877551020408"/>
    <col collapsed="false" hidden="false" max="10" min="10" style="0" width="4.98469387755102"/>
    <col collapsed="false" hidden="false" max="1025" min="1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6</v>
      </c>
      <c r="C2" s="0" t="e">
        <f aca="false">_xlfn.QUARTILE.EXC(A2:A12,0)</f>
        <v>#VALUE!</v>
      </c>
      <c r="D2" s="0" t="n">
        <f aca="false">_xlfn.QUARTILE.INC(A2:A12,0)</f>
        <v>6</v>
      </c>
      <c r="F2" s="0" t="s">
        <v>4</v>
      </c>
    </row>
    <row r="3" customFormat="false" ht="12.8" hidden="false" customHeight="false" outlineLevel="0" collapsed="false">
      <c r="A3" s="1" t="n">
        <v>7</v>
      </c>
    </row>
    <row r="4" customFormat="false" ht="12.8" hidden="false" customHeight="false" outlineLevel="0" collapsed="false">
      <c r="A4" s="1" t="n">
        <v>15</v>
      </c>
      <c r="B4" s="1" t="n">
        <f aca="false">MEDIAN(A2:A6)</f>
        <v>15</v>
      </c>
      <c r="C4" s="0" t="n">
        <f aca="false">_xlfn.QUARTILE.EXC(A2:A12,1)</f>
        <v>15</v>
      </c>
      <c r="D4" s="0" t="n">
        <f aca="false">_xlfn.QUARTILE.INC(A2:A12,1)</f>
        <v>25.5</v>
      </c>
      <c r="F4" s="0" t="s">
        <v>5</v>
      </c>
      <c r="G4" s="0" t="s">
        <v>6</v>
      </c>
      <c r="J4" s="0" t="n">
        <f aca="false">MEDIAN(A3:A6)</f>
        <v>25.5</v>
      </c>
    </row>
    <row r="5" customFormat="false" ht="12.8" hidden="false" customHeight="false" outlineLevel="0" collapsed="false">
      <c r="A5" s="1" t="n">
        <v>36</v>
      </c>
    </row>
    <row r="6" customFormat="false" ht="12.8" hidden="false" customHeight="false" outlineLevel="0" collapsed="false">
      <c r="A6" s="1" t="n">
        <v>39</v>
      </c>
    </row>
    <row r="7" customFormat="false" ht="12.8" hidden="false" customHeight="false" outlineLevel="0" collapsed="false">
      <c r="A7" s="0" t="n">
        <v>40</v>
      </c>
      <c r="B7" s="0" t="n">
        <f aca="false">MEDIAN(A2:A12)</f>
        <v>40</v>
      </c>
      <c r="C7" s="0" t="n">
        <f aca="false">_xlfn.QUARTILE.EXC(A2:A12,2)</f>
        <v>40</v>
      </c>
      <c r="D7" s="0" t="n">
        <f aca="false">_xlfn.QUARTILE.INC(A2:A12,2)</f>
        <v>40</v>
      </c>
      <c r="F7" s="0" t="s">
        <v>7</v>
      </c>
    </row>
    <row r="8" customFormat="false" ht="12.8" hidden="false" customHeight="false" outlineLevel="0" collapsed="false">
      <c r="A8" s="2" t="n">
        <v>41</v>
      </c>
    </row>
    <row r="9" customFormat="false" ht="12.8" hidden="false" customHeight="false" outlineLevel="0" collapsed="false">
      <c r="A9" s="2" t="n">
        <v>42</v>
      </c>
    </row>
    <row r="10" customFormat="false" ht="12.8" hidden="false" customHeight="false" outlineLevel="0" collapsed="false">
      <c r="A10" s="2" t="n">
        <v>43</v>
      </c>
      <c r="B10" s="2" t="n">
        <f aca="false">MEDIAN(A8:A12)</f>
        <v>43</v>
      </c>
      <c r="C10" s="0" t="n">
        <f aca="false">_xlfn.QUARTILE.EXC(A2:A12,3)</f>
        <v>43</v>
      </c>
      <c r="D10" s="0" t="n">
        <f aca="false">_xlfn.QUARTILE.INC(A2:A12,3)</f>
        <v>42.5</v>
      </c>
      <c r="F10" s="0" t="s">
        <v>8</v>
      </c>
      <c r="G10" s="0" t="s">
        <v>9</v>
      </c>
      <c r="J10" s="0" t="n">
        <f aca="false">MEDIAN(A8:A11)</f>
        <v>42.5</v>
      </c>
    </row>
    <row r="11" customFormat="false" ht="12.8" hidden="false" customHeight="false" outlineLevel="0" collapsed="false">
      <c r="A11" s="2" t="n">
        <v>47</v>
      </c>
    </row>
    <row r="12" customFormat="false" ht="12.8" hidden="false" customHeight="false" outlineLevel="0" collapsed="false">
      <c r="A12" s="2" t="n">
        <v>49</v>
      </c>
      <c r="C12" s="0" t="e">
        <f aca="false">_xlfn.QUARTILE.EXC(A2:A12,4)</f>
        <v>#VALUE!</v>
      </c>
      <c r="D12" s="0" t="n">
        <f aca="false">_xlfn.QUARTILE.INC(A2:A12,4)</f>
        <v>49</v>
      </c>
      <c r="F12" s="0" t="s">
        <v>10</v>
      </c>
    </row>
    <row r="15" customFormat="false" ht="12.8" hidden="false" customHeight="false" outlineLevel="0" collapsed="false">
      <c r="B15" s="0" t="s">
        <v>11</v>
      </c>
      <c r="C15" s="0" t="n">
        <f aca="false">_xlfn.QUARTILE.EXC(A2:A12,3)-_xlfn.QUARTILE.EXC(A2:A12,1)</f>
        <v>28</v>
      </c>
      <c r="D15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2021-05-18T16:44:05Z</dcterms:created>
  <dc:creator/>
  <dc:description/>
  <dc:language>en-US</dc:language>
  <cp:lastModifiedBy/>
  <dcterms:modified xsi:type="dcterms:W3CDTF">2021-05-18T17:17:13Z</dcterms:modified>
  <cp:revision>3</cp:revision>
  <dc:subject/>
  <dc:title/>
</cp:coreProperties>
</file>