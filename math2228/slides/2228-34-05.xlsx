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<sst xmlns="http://schemas.openxmlformats.org/spreadsheetml/2006/main" count="24" uniqueCount="14">
  <si>
    <t xml:space="preserve">( a )</t>
  </si>
  <si>
    <t xml:space="preserve">n=sample count</t>
  </si>
  <si>
    <t xml:space="preserve">p=success probability=P(miss flight)</t>
  </si>
  <si>
    <t xml:space="preserve">normal distribution for (p hat) with</t>
  </si>
  <si>
    <t xml:space="preserve">mean</t>
  </si>
  <si>
    <t xml:space="preserve">st dev=sqrt(p*(1-p)/n)</t>
  </si>
  <si>
    <t xml:space="preserve">P(x&gt;=25)=P((p hat)&gt;=25/290)</t>
  </si>
  <si>
    <t xml:space="preserve">1-norm.dist(25/290,b5,b6,1)</t>
  </si>
  <si>
    <t xml:space="preserve">( b )</t>
  </si>
  <si>
    <t xml:space="preserve">P(x&gt;=20)=P((p hat)&gt;=20/320)</t>
  </si>
  <si>
    <t xml:space="preserve">1-norm.dist(20/320,b13,b14,1)</t>
  </si>
  <si>
    <t xml:space="preserve">( c )</t>
  </si>
  <si>
    <t xml:space="preserve">P(x&gt;=15)=P((p hat)&gt;=15/300)</t>
  </si>
  <si>
    <t xml:space="preserve">1-norm.dist(15/300,b21,b22,1)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</si>
</sst>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RowHeight="12.8"/>
  <cols>
    <col collapsed="false" hidden="false" max="1" min="1" style="0" width="30.5357142857143"/>
    <col collapsed="false" hidden="false" max="2" min="2" style="0" width="25.6938775510204"/>
    <col collapsed="false" hidden="false" max="3" min="3" style="0" width="12.7244897959184"/>
    <col collapsed="false" hidden="false" max="1025" min="4" style="0" width="11.5204081632653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n">
        <v>290</v>
      </c>
    </row>
    <row r="3" customFormat="false" ht="12.8" hidden="false" customHeight="false" outlineLevel="0" collapsed="false">
      <c r="A3" s="0" t="s">
        <v>2</v>
      </c>
      <c r="B3" s="0" t="n">
        <v>0.0995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  <c r="B5" s="0" t="n">
        <f aca="false">$B$3</f>
        <v>0.0995</v>
      </c>
    </row>
    <row r="6" customFormat="false" ht="12.8" hidden="false" customHeight="false" outlineLevel="0" collapsed="false">
      <c r="A6" s="0" t="s">
        <v>5</v>
      </c>
      <c r="B6" s="0" t="n">
        <f aca="false">SQRT(B3*(1-B3)/B2)</f>
        <v>0.0175773904540012</v>
      </c>
    </row>
    <row r="7" customFormat="false" ht="12.8" hidden="false" customHeight="false" outlineLevel="0" collapsed="false">
      <c r="A7" s="0" t="s">
        <v>6</v>
      </c>
      <c r="B7" s="0" t="s">
        <v>7</v>
      </c>
      <c r="C7" s="0" t="n">
        <f aca="false">1-_xlfn.NORM.DIST(25/290,B5,B6,1)</f>
        <v>0.775253783063521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1</v>
      </c>
      <c r="B10" s="0" t="n">
        <v>320</v>
      </c>
    </row>
    <row r="11" customFormat="false" ht="12.8" hidden="false" customHeight="false" outlineLevel="0" collapsed="false">
      <c r="A11" s="0" t="s">
        <v>2</v>
      </c>
      <c r="B11" s="0" t="n">
        <v>0.0995</v>
      </c>
    </row>
    <row r="12" customFormat="false" ht="12.8" hidden="false" customHeight="false" outlineLevel="0" collapsed="false">
      <c r="A12" s="0" t="s">
        <v>3</v>
      </c>
    </row>
    <row r="13" customFormat="false" ht="12.8" hidden="false" customHeight="false" outlineLevel="0" collapsed="false">
      <c r="A13" s="0" t="s">
        <v>4</v>
      </c>
      <c r="B13" s="0" t="n">
        <f aca="false">$B$3</f>
        <v>0.0995</v>
      </c>
    </row>
    <row r="14" customFormat="false" ht="12.8" hidden="false" customHeight="false" outlineLevel="0" collapsed="false">
      <c r="A14" s="0" t="s">
        <v>5</v>
      </c>
      <c r="B14" s="0" t="n">
        <f aca="false">SQRT(B11*(1-B11)/B10)</f>
        <v>0.0167331771863565</v>
      </c>
    </row>
    <row r="15" customFormat="false" ht="12.8" hidden="false" customHeight="false" outlineLevel="0" collapsed="false">
      <c r="A15" s="0" t="s">
        <v>9</v>
      </c>
      <c r="B15" s="0" t="s">
        <v>10</v>
      </c>
      <c r="C15" s="0" t="n">
        <f aca="false">1-_xlfn.NORM.DIST(20/320,B13,B14,1)</f>
        <v>0.986488174582101</v>
      </c>
    </row>
    <row r="17" customFormat="false" ht="12.8" hidden="false" customHeight="false" outlineLevel="0" collapsed="false">
      <c r="A17" s="0" t="s">
        <v>11</v>
      </c>
    </row>
    <row r="18" customFormat="false" ht="12.8" hidden="false" customHeight="false" outlineLevel="0" collapsed="false">
      <c r="A18" s="0" t="s">
        <v>1</v>
      </c>
      <c r="B18" s="0" t="n">
        <v>300</v>
      </c>
    </row>
    <row r="19" customFormat="false" ht="12.8" hidden="false" customHeight="false" outlineLevel="0" collapsed="false">
      <c r="A19" s="0" t="s">
        <v>2</v>
      </c>
      <c r="B19" s="0" t="n">
        <v>0.04</v>
      </c>
    </row>
    <row r="20" customFormat="false" ht="12.8" hidden="false" customHeight="false" outlineLevel="0" collapsed="false">
      <c r="A20" s="0" t="s">
        <v>3</v>
      </c>
    </row>
    <row r="21" customFormat="false" ht="12.8" hidden="false" customHeight="false" outlineLevel="0" collapsed="false">
      <c r="A21" s="0" t="s">
        <v>4</v>
      </c>
      <c r="B21" s="0" t="n">
        <f aca="false">B19</f>
        <v>0.04</v>
      </c>
    </row>
    <row r="22" customFormat="false" ht="12.8" hidden="false" customHeight="false" outlineLevel="0" collapsed="false">
      <c r="A22" s="0" t="s">
        <v>5</v>
      </c>
      <c r="B22" s="0" t="n">
        <f aca="false">SQRT(B19*(1-B19)/B18)</f>
        <v>0.0113137084989848</v>
      </c>
    </row>
    <row r="23" customFormat="false" ht="12.8" hidden="false" customHeight="false" outlineLevel="0" collapsed="false">
      <c r="A23" s="0" t="s">
        <v>12</v>
      </c>
      <c r="B23" s="0" t="s">
        <v>13</v>
      </c>
      <c r="C23" s="0" t="n">
        <f aca="false">1-_xlfn.NORM.DIST(15/300,B21,B22,1)</f>
        <v>0.188379558905791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2021-06-02T15:12:49Z</dcterms:created>
  <dc:creator/>
  <dc:description/>
  <dc:language>en-US</dc:language>
  <cp:lastModifiedBy/>
  <dcterms:modified xsi:type="dcterms:W3CDTF">2021-06-02T15:25:48Z</dcterms:modified>
  <cp:revision>1</cp:revision>
  <dc:subject/>
  <dc:title/>
</cp:coreProperties>
</file>