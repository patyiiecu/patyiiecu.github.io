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<sst xmlns="http://schemas.openxmlformats.org/spreadsheetml/2006/main" count="15" uniqueCount="15">
  <si>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x</t>
  </si>
  <si>
    <t xml:space="preserve">p(x)</t>
  </si>
  <si>
    <t xml:space="preserve">z score</t>
  </si>
  <si>
    <t xml:space="preserve">phi(z)</t>
  </si>
  <si>
    <t xml:space="preserve">n</t>
  </si>
  <si>
    <t xml:space="preserve">trials</t>
  </si>
  <si>
    <t xml:space="preserve">p</t>
  </si>
  <si>
    <t xml:space="preserve">success probability</t>
  </si>
  <si>
    <t xml:space="preserve">mean</t>
  </si>
  <si>
    <t xml:space="preserve">n*p</t>
  </si>
  <si>
    <t xml:space="preserve">var</t>
  </si>
  <si>
    <t xml:space="preserve">n*p*(1-p)</t>
  </si>
  <si>
    <t xml:space="preserve">st dev</t>
  </si>
  <si>
    <t xml:space="preserve">sqrt(n*p*(1-p))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</si>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</sst>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Binomial distribution, trials=100, success prob=0.3.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p(x)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Sheet1!$B$2:$B$102</c:f>
              <c:numCache>
                <c:formatCode>General</c:formatCode>
                <c:ptCount val="101"/>
                <c:pt idx="0">
                  <c:v>3.23447650962474E-016</c:v>
                </c:pt>
                <c:pt idx="1">
                  <c:v>1.3862042184106E-014</c:v>
                </c:pt>
                <c:pt idx="2">
                  <c:v>2.94073323477106E-013</c:v>
                </c:pt>
                <c:pt idx="3">
                  <c:v>4.11702652867949E-012</c:v>
                </c:pt>
                <c:pt idx="4">
                  <c:v>4.2787668565919E-011</c:v>
                </c:pt>
                <c:pt idx="5">
                  <c:v>3.52081387056705E-010</c:v>
                </c:pt>
                <c:pt idx="6">
                  <c:v>2.38912369788478E-009</c:v>
                </c:pt>
                <c:pt idx="7">
                  <c:v>1.37496506694594E-008</c:v>
                </c:pt>
                <c:pt idx="8">
                  <c:v>6.85027238710565E-008</c:v>
                </c:pt>
                <c:pt idx="9">
                  <c:v>3.00107171244629E-007</c:v>
                </c:pt>
                <c:pt idx="10">
                  <c:v>1.17041796785405E-006</c:v>
                </c:pt>
                <c:pt idx="11">
                  <c:v>4.10406300416356E-006</c:v>
                </c:pt>
                <c:pt idx="12">
                  <c:v>1.30450574060913E-005</c:v>
                </c:pt>
                <c:pt idx="13">
                  <c:v>3.78450017055836E-005</c:v>
                </c:pt>
                <c:pt idx="14">
                  <c:v>0.000100791280052626</c:v>
                </c:pt>
                <c:pt idx="15">
                  <c:v>0.000247658573843595</c:v>
                </c:pt>
                <c:pt idx="16">
                  <c:v>0.000563865502947471</c:v>
                </c:pt>
                <c:pt idx="17">
                  <c:v>0.00119406812388876</c:v>
                </c:pt>
                <c:pt idx="18">
                  <c:v>0.0023597060543516</c:v>
                </c:pt>
                <c:pt idx="19">
                  <c:v>0.00436456909301123</c:v>
                </c:pt>
                <c:pt idx="20">
                  <c:v>0.00757564492572664</c:v>
                </c:pt>
                <c:pt idx="21">
                  <c:v>0.0123683998787374</c:v>
                </c:pt>
                <c:pt idx="22">
                  <c:v>0.0190344855276673</c:v>
                </c:pt>
                <c:pt idx="23">
                  <c:v>0.0276650286551189</c:v>
                </c:pt>
                <c:pt idx="24">
                  <c:v>0.0380394144007884</c:v>
                </c:pt>
                <c:pt idx="25">
                  <c:v>0.0495599227621701</c:v>
                </c:pt>
                <c:pt idx="26">
                  <c:v>0.0612691352829026</c:v>
                </c:pt>
                <c:pt idx="27">
                  <c:v>0.0719669208084888</c:v>
                </c:pt>
                <c:pt idx="28">
                  <c:v>0.0804120186584646</c:v>
                </c:pt>
                <c:pt idx="29">
                  <c:v>0.0855615567991544</c:v>
                </c:pt>
                <c:pt idx="30">
                  <c:v>0.0867838647534281</c:v>
                </c:pt>
                <c:pt idx="31">
                  <c:v>0.083984385245253</c:v>
                </c:pt>
                <c:pt idx="32">
                  <c:v>0.0776105702936044</c:v>
                </c:pt>
                <c:pt idx="33">
                  <c:v>0.0685392049346116</c:v>
                </c:pt>
                <c:pt idx="34">
                  <c:v>0.0578839503859535</c:v>
                </c:pt>
                <c:pt idx="35">
                  <c:v>0.0467796823527298</c:v>
                </c:pt>
                <c:pt idx="36">
                  <c:v>0.0361985637253267</c:v>
                </c:pt>
                <c:pt idx="37">
                  <c:v>0.0268344565068059</c:v>
                </c:pt>
                <c:pt idx="38">
                  <c:v>0.0190665875179936</c:v>
                </c:pt>
                <c:pt idx="39">
                  <c:v>0.0129904222650067</c:v>
                </c:pt>
                <c:pt idx="40">
                  <c:v>0.0084901688374865</c:v>
                </c:pt>
                <c:pt idx="41">
                  <c:v>0.00532484456706471</c:v>
                </c:pt>
                <c:pt idx="42">
                  <c:v>0.00320577376996753</c:v>
                </c:pt>
                <c:pt idx="43">
                  <c:v>0.00185317154808754</c:v>
                </c:pt>
                <c:pt idx="44">
                  <c:v>0.00102887121663302</c:v>
                </c:pt>
                <c:pt idx="45">
                  <c:v>0.00054873131553761</c:v>
                </c:pt>
                <c:pt idx="46">
                  <c:v>0.000281182195850018</c:v>
                </c:pt>
                <c:pt idx="47">
                  <c:v>0.000138454455099401</c:v>
                </c:pt>
                <c:pt idx="48">
                  <c:v>6.55186260738236E-005</c:v>
                </c:pt>
                <c:pt idx="49">
                  <c:v>2.97985587974241E-005</c:v>
                </c:pt>
                <c:pt idx="50">
                  <c:v>1.30262271314454E-005</c:v>
                </c:pt>
                <c:pt idx="51">
                  <c:v>5.47320467707791E-006</c:v>
                </c:pt>
                <c:pt idx="52">
                  <c:v>2.21033265805069E-006</c:v>
                </c:pt>
                <c:pt idx="53">
                  <c:v>8.57918875361995E-007</c:v>
                </c:pt>
                <c:pt idx="54">
                  <c:v>3.2001735826995E-007</c:v>
                </c:pt>
                <c:pt idx="55">
                  <c:v>1.14707520626632E-007</c:v>
                </c:pt>
                <c:pt idx="56">
                  <c:v>3.95038655219267E-008</c:v>
                </c:pt>
                <c:pt idx="57">
                  <c:v>1.30689479922164E-008</c:v>
                </c:pt>
                <c:pt idx="58">
                  <c:v>4.15244899260077E-009</c:v>
                </c:pt>
                <c:pt idx="59">
                  <c:v>1.26684884520023E-009</c:v>
                </c:pt>
                <c:pt idx="60">
                  <c:v>3.71005733237211E-010</c:v>
                </c:pt>
                <c:pt idx="61">
                  <c:v>1.04263906296172E-010</c:v>
                </c:pt>
                <c:pt idx="62">
                  <c:v>2.81080116051892E-011</c:v>
                </c:pt>
                <c:pt idx="63">
                  <c:v>7.26601660542306E-012</c:v>
                </c:pt>
                <c:pt idx="64">
                  <c:v>1.80028536429009E-012</c:v>
                </c:pt>
                <c:pt idx="65">
                  <c:v>4.27320482073252E-013</c:v>
                </c:pt>
                <c:pt idx="66">
                  <c:v>9.71182913802845E-014</c:v>
                </c:pt>
                <c:pt idx="67">
                  <c:v>2.11216753108508E-014</c:v>
                </c:pt>
                <c:pt idx="68">
                  <c:v>4.39295347851729E-015</c:v>
                </c:pt>
                <c:pt idx="69">
                  <c:v>8.73133610636977E-016</c:v>
                </c:pt>
                <c:pt idx="70">
                  <c:v>1.65717195488243E-016</c:v>
                </c:pt>
                <c:pt idx="71">
                  <c:v>3.00091500884141E-017</c:v>
                </c:pt>
                <c:pt idx="72">
                  <c:v>5.18015090811911E-018</c:v>
                </c:pt>
                <c:pt idx="73">
                  <c:v>8.51531656129169E-019</c:v>
                </c:pt>
                <c:pt idx="74">
                  <c:v>1.3315456398931E-019</c:v>
                </c:pt>
                <c:pt idx="75">
                  <c:v>1.97829637926975E-020</c:v>
                </c:pt>
                <c:pt idx="76">
                  <c:v>2.78895166250435E-021</c:v>
                </c:pt>
                <c:pt idx="77">
                  <c:v>3.72550129314125E-022</c:v>
                </c:pt>
                <c:pt idx="78">
                  <c:v>4.70805108473894E-023</c:v>
                </c:pt>
                <c:pt idx="79">
                  <c:v>5.61901214453472E-024</c:v>
                </c:pt>
                <c:pt idx="80">
                  <c:v>6.32138866260156E-025</c:v>
                </c:pt>
                <c:pt idx="81">
                  <c:v>6.68930017206515E-026</c:v>
                </c:pt>
                <c:pt idx="82">
                  <c:v>6.64268483985564E-027</c:v>
                </c:pt>
                <c:pt idx="83">
                  <c:v>6.17392394754225E-028</c:v>
                </c:pt>
                <c:pt idx="84">
                  <c:v>5.35493403613358E-029</c:v>
                </c:pt>
                <c:pt idx="85">
                  <c:v>4.3199467854523E-030</c:v>
                </c:pt>
                <c:pt idx="86">
                  <c:v>3.22919610208229E-031</c:v>
                </c:pt>
                <c:pt idx="87">
                  <c:v>2.22703179453951E-032</c:v>
                </c:pt>
                <c:pt idx="88">
                  <c:v>1.40997142836105E-033</c:v>
                </c:pt>
                <c:pt idx="89">
                  <c:v>8.14750745120352E-035</c:v>
                </c:pt>
                <c:pt idx="90">
                  <c:v>4.26774199824946E-036</c:v>
                </c:pt>
                <c:pt idx="91">
                  <c:v>2.00992558787259E-037</c:v>
                </c:pt>
                <c:pt idx="92">
                  <c:v>8.4267066572298E-039</c:v>
                </c:pt>
                <c:pt idx="93">
                  <c:v>3.10661996579901E-040</c:v>
                </c:pt>
                <c:pt idx="94">
                  <c:v>9.91474457169896E-042</c:v>
                </c:pt>
                <c:pt idx="95">
                  <c:v>2.68369026000874E-043</c:v>
                </c:pt>
                <c:pt idx="96">
                  <c:v>5.99038004466237E-045</c:v>
                </c:pt>
                <c:pt idx="97">
                  <c:v>1.05868277667082E-046</c:v>
                </c:pt>
                <c:pt idx="98">
                  <c:v>1.38894241837279E-048</c:v>
                </c:pt>
                <c:pt idx="99">
                  <c:v>1.20254754837471E-050</c:v>
                </c:pt>
                <c:pt idx="100">
                  <c:v>5.1537752073202E-053</c:v>
                </c:pt>
              </c:numCache>
            </c:numRef>
          </c:yVal>
          <c:smooth val="0"/>
        </c:ser>
        <c:axId val="14648393"/>
        <c:axId val="71256780"/>
      </c:scatterChart>
      <c:valAx>
        <c:axId val="146483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71256780"/>
        <c:crosses val="autoZero"/>
        <c:crossBetween val="midCat"/>
      </c:valAx>
      <c:valAx>
        <c:axId val="7125678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p(x)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14648393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Histogram of binomial and approximating normal distribution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p(x)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Sheet1!$B$2:$B$102</c:f>
              <c:numCache>
                <c:formatCode>General</c:formatCode>
                <c:ptCount val="101"/>
                <c:pt idx="0">
                  <c:v>3.23447650962474E-016</c:v>
                </c:pt>
                <c:pt idx="1">
                  <c:v>1.3862042184106E-014</c:v>
                </c:pt>
                <c:pt idx="2">
                  <c:v>2.94073323477106E-013</c:v>
                </c:pt>
                <c:pt idx="3">
                  <c:v>4.11702652867949E-012</c:v>
                </c:pt>
                <c:pt idx="4">
                  <c:v>4.2787668565919E-011</c:v>
                </c:pt>
                <c:pt idx="5">
                  <c:v>3.52081387056705E-010</c:v>
                </c:pt>
                <c:pt idx="6">
                  <c:v>2.38912369788478E-009</c:v>
                </c:pt>
                <c:pt idx="7">
                  <c:v>1.37496506694594E-008</c:v>
                </c:pt>
                <c:pt idx="8">
                  <c:v>6.85027238710565E-008</c:v>
                </c:pt>
                <c:pt idx="9">
                  <c:v>3.00107171244629E-007</c:v>
                </c:pt>
                <c:pt idx="10">
                  <c:v>1.17041796785405E-006</c:v>
                </c:pt>
                <c:pt idx="11">
                  <c:v>4.10406300416356E-006</c:v>
                </c:pt>
                <c:pt idx="12">
                  <c:v>1.30450574060913E-005</c:v>
                </c:pt>
                <c:pt idx="13">
                  <c:v>3.78450017055836E-005</c:v>
                </c:pt>
                <c:pt idx="14">
                  <c:v>0.000100791280052626</c:v>
                </c:pt>
                <c:pt idx="15">
                  <c:v>0.000247658573843595</c:v>
                </c:pt>
                <c:pt idx="16">
                  <c:v>0.000563865502947471</c:v>
                </c:pt>
                <c:pt idx="17">
                  <c:v>0.00119406812388876</c:v>
                </c:pt>
                <c:pt idx="18">
                  <c:v>0.0023597060543516</c:v>
                </c:pt>
                <c:pt idx="19">
                  <c:v>0.00436456909301123</c:v>
                </c:pt>
                <c:pt idx="20">
                  <c:v>0.00757564492572664</c:v>
                </c:pt>
                <c:pt idx="21">
                  <c:v>0.0123683998787374</c:v>
                </c:pt>
                <c:pt idx="22">
                  <c:v>0.0190344855276673</c:v>
                </c:pt>
                <c:pt idx="23">
                  <c:v>0.0276650286551189</c:v>
                </c:pt>
                <c:pt idx="24">
                  <c:v>0.0380394144007884</c:v>
                </c:pt>
                <c:pt idx="25">
                  <c:v>0.0495599227621701</c:v>
                </c:pt>
                <c:pt idx="26">
                  <c:v>0.0612691352829026</c:v>
                </c:pt>
                <c:pt idx="27">
                  <c:v>0.0719669208084888</c:v>
                </c:pt>
                <c:pt idx="28">
                  <c:v>0.0804120186584646</c:v>
                </c:pt>
                <c:pt idx="29">
                  <c:v>0.0855615567991544</c:v>
                </c:pt>
                <c:pt idx="30">
                  <c:v>0.0867838647534281</c:v>
                </c:pt>
                <c:pt idx="31">
                  <c:v>0.083984385245253</c:v>
                </c:pt>
                <c:pt idx="32">
                  <c:v>0.0776105702936044</c:v>
                </c:pt>
                <c:pt idx="33">
                  <c:v>0.0685392049346116</c:v>
                </c:pt>
                <c:pt idx="34">
                  <c:v>0.0578839503859535</c:v>
                </c:pt>
                <c:pt idx="35">
                  <c:v>0.0467796823527298</c:v>
                </c:pt>
                <c:pt idx="36">
                  <c:v>0.0361985637253267</c:v>
                </c:pt>
                <c:pt idx="37">
                  <c:v>0.0268344565068059</c:v>
                </c:pt>
                <c:pt idx="38">
                  <c:v>0.0190665875179936</c:v>
                </c:pt>
                <c:pt idx="39">
                  <c:v>0.0129904222650067</c:v>
                </c:pt>
                <c:pt idx="40">
                  <c:v>0.0084901688374865</c:v>
                </c:pt>
                <c:pt idx="41">
                  <c:v>0.00532484456706471</c:v>
                </c:pt>
                <c:pt idx="42">
                  <c:v>0.00320577376996753</c:v>
                </c:pt>
                <c:pt idx="43">
                  <c:v>0.00185317154808754</c:v>
                </c:pt>
                <c:pt idx="44">
                  <c:v>0.00102887121663302</c:v>
                </c:pt>
                <c:pt idx="45">
                  <c:v>0.00054873131553761</c:v>
                </c:pt>
                <c:pt idx="46">
                  <c:v>0.000281182195850018</c:v>
                </c:pt>
                <c:pt idx="47">
                  <c:v>0.000138454455099401</c:v>
                </c:pt>
                <c:pt idx="48">
                  <c:v>6.55186260738236E-005</c:v>
                </c:pt>
                <c:pt idx="49">
                  <c:v>2.97985587974241E-005</c:v>
                </c:pt>
                <c:pt idx="50">
                  <c:v>1.30262271314454E-005</c:v>
                </c:pt>
                <c:pt idx="51">
                  <c:v>5.47320467707791E-006</c:v>
                </c:pt>
                <c:pt idx="52">
                  <c:v>2.21033265805069E-006</c:v>
                </c:pt>
                <c:pt idx="53">
                  <c:v>8.57918875361995E-007</c:v>
                </c:pt>
                <c:pt idx="54">
                  <c:v>3.2001735826995E-007</c:v>
                </c:pt>
                <c:pt idx="55">
                  <c:v>1.14707520626632E-007</c:v>
                </c:pt>
                <c:pt idx="56">
                  <c:v>3.95038655219267E-008</c:v>
                </c:pt>
                <c:pt idx="57">
                  <c:v>1.30689479922164E-008</c:v>
                </c:pt>
                <c:pt idx="58">
                  <c:v>4.15244899260077E-009</c:v>
                </c:pt>
                <c:pt idx="59">
                  <c:v>1.26684884520023E-009</c:v>
                </c:pt>
                <c:pt idx="60">
                  <c:v>3.71005733237211E-010</c:v>
                </c:pt>
                <c:pt idx="61">
                  <c:v>1.04263906296172E-010</c:v>
                </c:pt>
                <c:pt idx="62">
                  <c:v>2.81080116051892E-011</c:v>
                </c:pt>
                <c:pt idx="63">
                  <c:v>7.26601660542306E-012</c:v>
                </c:pt>
                <c:pt idx="64">
                  <c:v>1.80028536429009E-012</c:v>
                </c:pt>
                <c:pt idx="65">
                  <c:v>4.27320482073252E-013</c:v>
                </c:pt>
                <c:pt idx="66">
                  <c:v>9.71182913802845E-014</c:v>
                </c:pt>
                <c:pt idx="67">
                  <c:v>2.11216753108508E-014</c:v>
                </c:pt>
                <c:pt idx="68">
                  <c:v>4.39295347851729E-015</c:v>
                </c:pt>
                <c:pt idx="69">
                  <c:v>8.73133610636977E-016</c:v>
                </c:pt>
                <c:pt idx="70">
                  <c:v>1.65717195488243E-016</c:v>
                </c:pt>
                <c:pt idx="71">
                  <c:v>3.00091500884141E-017</c:v>
                </c:pt>
                <c:pt idx="72">
                  <c:v>5.18015090811911E-018</c:v>
                </c:pt>
                <c:pt idx="73">
                  <c:v>8.51531656129169E-019</c:v>
                </c:pt>
                <c:pt idx="74">
                  <c:v>1.3315456398931E-019</c:v>
                </c:pt>
                <c:pt idx="75">
                  <c:v>1.97829637926975E-020</c:v>
                </c:pt>
                <c:pt idx="76">
                  <c:v>2.78895166250435E-021</c:v>
                </c:pt>
                <c:pt idx="77">
                  <c:v>3.72550129314125E-022</c:v>
                </c:pt>
                <c:pt idx="78">
                  <c:v>4.70805108473894E-023</c:v>
                </c:pt>
                <c:pt idx="79">
                  <c:v>5.61901214453472E-024</c:v>
                </c:pt>
                <c:pt idx="80">
                  <c:v>6.32138866260156E-025</c:v>
                </c:pt>
                <c:pt idx="81">
                  <c:v>6.68930017206515E-026</c:v>
                </c:pt>
                <c:pt idx="82">
                  <c:v>6.64268483985564E-027</c:v>
                </c:pt>
                <c:pt idx="83">
                  <c:v>6.17392394754225E-028</c:v>
                </c:pt>
                <c:pt idx="84">
                  <c:v>5.35493403613358E-029</c:v>
                </c:pt>
                <c:pt idx="85">
                  <c:v>4.3199467854523E-030</c:v>
                </c:pt>
                <c:pt idx="86">
                  <c:v>3.22919610208229E-031</c:v>
                </c:pt>
                <c:pt idx="87">
                  <c:v>2.22703179453951E-032</c:v>
                </c:pt>
                <c:pt idx="88">
                  <c:v>1.40997142836105E-033</c:v>
                </c:pt>
                <c:pt idx="89">
                  <c:v>8.14750745120352E-035</c:v>
                </c:pt>
                <c:pt idx="90">
                  <c:v>4.26774199824946E-036</c:v>
                </c:pt>
                <c:pt idx="91">
                  <c:v>2.00992558787259E-037</c:v>
                </c:pt>
                <c:pt idx="92">
                  <c:v>8.4267066572298E-039</c:v>
                </c:pt>
                <c:pt idx="93">
                  <c:v>3.10661996579901E-040</c:v>
                </c:pt>
                <c:pt idx="94">
                  <c:v>9.91474457169896E-042</c:v>
                </c:pt>
                <c:pt idx="95">
                  <c:v>2.68369026000874E-043</c:v>
                </c:pt>
                <c:pt idx="96">
                  <c:v>5.99038004466237E-045</c:v>
                </c:pt>
                <c:pt idx="97">
                  <c:v>1.05868277667082E-046</c:v>
                </c:pt>
                <c:pt idx="98">
                  <c:v>1.38894241837279E-048</c:v>
                </c:pt>
                <c:pt idx="99">
                  <c:v>1.20254754837471E-050</c:v>
                </c:pt>
                <c:pt idx="100">
                  <c:v>5.1537752073202E-053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phi(z)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Sheet1!$A$2:$A$102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Sheet1!$D$2:$D$102</c:f>
              <c:numCache>
                <c:formatCode>General</c:formatCode>
                <c:ptCount val="101"/>
                <c:pt idx="0">
                  <c:v>1.97060572116874E-010</c:v>
                </c:pt>
                <c:pt idx="1">
                  <c:v>8.02934433685914E-010</c:v>
                </c:pt>
                <c:pt idx="2">
                  <c:v>3.11946226833578E-009</c:v>
                </c:pt>
                <c:pt idx="3">
                  <c:v>1.15557649995144E-008</c:v>
                </c:pt>
                <c:pt idx="4">
                  <c:v>4.08166141672251E-008</c:v>
                </c:pt>
                <c:pt idx="5">
                  <c:v>1.37465767543395E-007</c:v>
                </c:pt>
                <c:pt idx="6">
                  <c:v>4.414397700041E-007</c:v>
                </c:pt>
                <c:pt idx="7">
                  <c:v>1.35166062557122E-006</c:v>
                </c:pt>
                <c:pt idx="8">
                  <c:v>3.94623713548278E-006</c:v>
                </c:pt>
                <c:pt idx="9">
                  <c:v>1.09854538977466E-005</c:v>
                </c:pt>
                <c:pt idx="10">
                  <c:v>2.91589675737657E-005</c:v>
                </c:pt>
                <c:pt idx="11">
                  <c:v>7.37981696288311E-005</c:v>
                </c:pt>
                <c:pt idx="12">
                  <c:v>0.000178089513812465</c:v>
                </c:pt>
                <c:pt idx="13">
                  <c:v>0.000409779677703307</c:v>
                </c:pt>
                <c:pt idx="14">
                  <c:v>0.000899045755814207</c:v>
                </c:pt>
                <c:pt idx="15">
                  <c:v>0.001880756122183</c:v>
                </c:pt>
                <c:pt idx="16">
                  <c:v>0.003751478688191</c:v>
                </c:pt>
                <c:pt idx="17">
                  <c:v>0.00713496411845448</c:v>
                </c:pt>
                <c:pt idx="18">
                  <c:v>0.0129389910833787</c:v>
                </c:pt>
                <c:pt idx="19">
                  <c:v>0.0223732123237786</c:v>
                </c:pt>
                <c:pt idx="20">
                  <c:v>0.0368871910521041</c:v>
                </c:pt>
                <c:pt idx="21">
                  <c:v>0.05798853491958</c:v>
                </c:pt>
                <c:pt idx="22">
                  <c:v>0.0869216572829077</c:v>
                </c:pt>
                <c:pt idx="23">
                  <c:v>0.124231912272847</c:v>
                </c:pt>
                <c:pt idx="24">
                  <c:v>0.169300270794808</c:v>
                </c:pt>
                <c:pt idx="25">
                  <c:v>0.219989243184125</c:v>
                </c:pt>
                <c:pt idx="26">
                  <c:v>0.27256152401597</c:v>
                </c:pt>
                <c:pt idx="27">
                  <c:v>0.321993394542796</c:v>
                </c:pt>
                <c:pt idx="28">
                  <c:v>0.362700944562891</c:v>
                </c:pt>
                <c:pt idx="29">
                  <c:v>0.389555841420479</c:v>
                </c:pt>
                <c:pt idx="30">
                  <c:v>0.398942280401433</c:v>
                </c:pt>
                <c:pt idx="31">
                  <c:v>0.389555841420479</c:v>
                </c:pt>
                <c:pt idx="32">
                  <c:v>0.362700944562891</c:v>
                </c:pt>
                <c:pt idx="33">
                  <c:v>0.321993394542797</c:v>
                </c:pt>
                <c:pt idx="34">
                  <c:v>0.272561524015971</c:v>
                </c:pt>
                <c:pt idx="35">
                  <c:v>0.219989243184126</c:v>
                </c:pt>
                <c:pt idx="36">
                  <c:v>0.169300270794808</c:v>
                </c:pt>
                <c:pt idx="37">
                  <c:v>0.124231912272848</c:v>
                </c:pt>
                <c:pt idx="38">
                  <c:v>0.086921657282908</c:v>
                </c:pt>
                <c:pt idx="39">
                  <c:v>0.0579885349195802</c:v>
                </c:pt>
                <c:pt idx="40">
                  <c:v>0.0368871910521042</c:v>
                </c:pt>
                <c:pt idx="41">
                  <c:v>0.0223732123237787</c:v>
                </c:pt>
                <c:pt idx="42">
                  <c:v>0.0129389910833788</c:v>
                </c:pt>
                <c:pt idx="43">
                  <c:v>0.0071349641184545</c:v>
                </c:pt>
                <c:pt idx="44">
                  <c:v>0.00375147868819102</c:v>
                </c:pt>
                <c:pt idx="45">
                  <c:v>0.00188075612218301</c:v>
                </c:pt>
                <c:pt idx="46">
                  <c:v>0.000899045755814213</c:v>
                </c:pt>
                <c:pt idx="47">
                  <c:v>0.000409779677703309</c:v>
                </c:pt>
                <c:pt idx="48">
                  <c:v>0.000178089513812466</c:v>
                </c:pt>
                <c:pt idx="49">
                  <c:v>7.37981696288316E-005</c:v>
                </c:pt>
                <c:pt idx="50">
                  <c:v>2.91589675737658E-005</c:v>
                </c:pt>
                <c:pt idx="51">
                  <c:v>1.09854538977467E-005</c:v>
                </c:pt>
                <c:pt idx="52">
                  <c:v>3.94623713548281E-006</c:v>
                </c:pt>
                <c:pt idx="53">
                  <c:v>1.35166062557123E-006</c:v>
                </c:pt>
                <c:pt idx="54">
                  <c:v>4.41439770004104E-007</c:v>
                </c:pt>
                <c:pt idx="55">
                  <c:v>1.37465767543396E-007</c:v>
                </c:pt>
                <c:pt idx="56">
                  <c:v>4.08166141672254E-008</c:v>
                </c:pt>
                <c:pt idx="57">
                  <c:v>1.15557649995145E-008</c:v>
                </c:pt>
                <c:pt idx="58">
                  <c:v>3.11946226833581E-009</c:v>
                </c:pt>
                <c:pt idx="59">
                  <c:v>8.02934433685923E-010</c:v>
                </c:pt>
                <c:pt idx="60">
                  <c:v>1.97060572116876E-010</c:v>
                </c:pt>
                <c:pt idx="61">
                  <c:v>4.61146276267437E-011</c:v>
                </c:pt>
                <c:pt idx="62">
                  <c:v>1.02895642475405E-011</c:v>
                </c:pt>
                <c:pt idx="63">
                  <c:v>2.18914521347041E-012</c:v>
                </c:pt>
                <c:pt idx="64">
                  <c:v>4.44090485525183E-013</c:v>
                </c:pt>
                <c:pt idx="65">
                  <c:v>8.58989147504762E-014</c:v>
                </c:pt>
                <c:pt idx="66">
                  <c:v>1.58424810262035E-014</c:v>
                </c:pt>
                <c:pt idx="67">
                  <c:v>2.78598019470368E-015</c:v>
                </c:pt>
                <c:pt idx="68">
                  <c:v>4.6714549412491E-016</c:v>
                </c:pt>
                <c:pt idx="69">
                  <c:v>7.46871029829636E-017</c:v>
                </c:pt>
                <c:pt idx="70">
                  <c:v>1.13856642878416E-017</c:v>
                </c:pt>
                <c:pt idx="71">
                  <c:v>1.65497121657237E-018</c:v>
                </c:pt>
                <c:pt idx="72">
                  <c:v>2.29372752333608E-019</c:v>
                </c:pt>
                <c:pt idx="73">
                  <c:v>3.03118551739889E-020</c:v>
                </c:pt>
                <c:pt idx="74">
                  <c:v>3.81946486241514E-021</c:v>
                </c:pt>
                <c:pt idx="75">
                  <c:v>4.58893420782224E-022</c:v>
                </c:pt>
                <c:pt idx="76">
                  <c:v>5.25702998006614E-023</c:v>
                </c:pt>
                <c:pt idx="77">
                  <c:v>5.74233317035558E-024</c:v>
                </c:pt>
                <c:pt idx="78">
                  <c:v>5.98074973891065E-025</c:v>
                </c:pt>
                <c:pt idx="79">
                  <c:v>5.93939465336734E-026</c:v>
                </c:pt>
                <c:pt idx="80">
                  <c:v>5.62403542746847E-027</c:v>
                </c:pt>
                <c:pt idx="81">
                  <c:v>5.07777230136309E-028</c:v>
                </c:pt>
                <c:pt idx="82">
                  <c:v>4.37137140561348E-029</c:v>
                </c:pt>
                <c:pt idx="83">
                  <c:v>3.58824015814333E-030</c:v>
                </c:pt>
                <c:pt idx="84">
                  <c:v>2.8084364950535E-031</c:v>
                </c:pt>
                <c:pt idx="85">
                  <c:v>2.09588294656583E-032</c:v>
                </c:pt>
                <c:pt idx="86">
                  <c:v>1.49138149602358E-033</c:v>
                </c:pt>
                <c:pt idx="87">
                  <c:v>1.01188180589438E-034</c:v>
                </c:pt>
                <c:pt idx="88">
                  <c:v>6.54621303167163E-036</c:v>
                </c:pt>
                <c:pt idx="89">
                  <c:v>4.03803233131316E-037</c:v>
                </c:pt>
                <c:pt idx="90">
                  <c:v>2.375028141059E-038</c:v>
                </c:pt>
                <c:pt idx="91">
                  <c:v>1.33194728875049E-039</c:v>
                </c:pt>
                <c:pt idx="92">
                  <c:v>7.12237157074318E-041</c:v>
                </c:pt>
                <c:pt idx="93">
                  <c:v>3.63146218350324E-042</c:v>
                </c:pt>
                <c:pt idx="94">
                  <c:v>1.76545940340062E-043</c:v>
                </c:pt>
                <c:pt idx="95">
                  <c:v>8.18376698552265E-045</c:v>
                </c:pt>
                <c:pt idx="96">
                  <c:v>3.61716304814506E-046</c:v>
                </c:pt>
                <c:pt idx="97">
                  <c:v>1.52441153448562E-047</c:v>
                </c:pt>
                <c:pt idx="98">
                  <c:v>6.12569934240913E-049</c:v>
                </c:pt>
                <c:pt idx="99">
                  <c:v>2.34708295028018E-050</c:v>
                </c:pt>
                <c:pt idx="100">
                  <c:v>8.57473111594302E-052</c:v>
                </c:pt>
              </c:numCache>
            </c:numRef>
          </c:yVal>
          <c:smooth val="0"/>
        </c:ser>
        <c:axId val="46507132"/>
        <c:axId val="22471164"/>
      </c:scatterChart>
      <c:valAx>
        <c:axId val="465071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22471164"/>
        <c:crosses val="autoZero"/>
        <c:crossBetween val="midCat"/>
      </c:valAx>
      <c:valAx>
        <c:axId val="22471164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probability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46507132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2160</xdr:colOff>
      <xdr:row>6</xdr:row>
      <xdr:rowOff>11520</xdr:rowOff>
    </xdr:from>
    <xdr:to>
      <xdr:col>12</xdr:col>
      <xdr:colOff>72000</xdr:colOff>
      <xdr:row>25</xdr:row>
      <xdr:rowOff>162720</xdr:rowOff>
    </xdr:to>
    <xdr:graphicFrame>
      <xdr:nvGraphicFramePr>
        <xdr:cNvPr id="0" name=""/>
        <xdr:cNvGraphicFramePr/>
      </xdr:nvGraphicFramePr>
      <xdr:xfrm>
        <a:off x="4065840" y="986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794880</xdr:colOff>
      <xdr:row>29</xdr:row>
      <xdr:rowOff>1440</xdr:rowOff>
    </xdr:from>
    <xdr:to>
      <xdr:col>12</xdr:col>
      <xdr:colOff>52200</xdr:colOff>
      <xdr:row>48</xdr:row>
      <xdr:rowOff>152640</xdr:rowOff>
    </xdr:to>
    <xdr:graphicFrame>
      <xdr:nvGraphicFramePr>
        <xdr:cNvPr id="1" name=""/>
        <xdr:cNvGraphicFramePr/>
      </xdr:nvGraphicFramePr>
      <xdr:xfrm>
        <a:off x="4046040" y="4715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0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40" activeCellId="0" sqref="R40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0" t="n">
        <v>100</v>
      </c>
      <c r="G1" s="0" t="s">
        <v>5</v>
      </c>
    </row>
    <row r="2" customFormat="false" ht="12.8" hidden="false" customHeight="false" outlineLevel="0" collapsed="false">
      <c r="A2" s="0" t="n">
        <v>0</v>
      </c>
      <c r="B2" s="0" t="n">
        <f aca="false">_xlfn.BINOM.DIST(A2,$F$1,$F$2,0)</f>
        <v>3.23447650962474E-016</v>
      </c>
      <c r="C2" s="0" t="n">
        <f aca="false">STANDARDIZE(A2,$F$3,$F$5)</f>
        <v>-6.54653670707977</v>
      </c>
      <c r="D2" s="0" t="n">
        <f aca="false">_xlfn.NORM.DIST(C2,0,1,0)</f>
        <v>1.97060572116874E-010</v>
      </c>
      <c r="E2" s="1" t="s">
        <v>6</v>
      </c>
      <c r="F2" s="0" t="n">
        <v>0.3</v>
      </c>
      <c r="G2" s="0" t="s">
        <v>7</v>
      </c>
    </row>
    <row r="3" customFormat="false" ht="12.8" hidden="false" customHeight="false" outlineLevel="0" collapsed="false">
      <c r="A3" s="0" t="n">
        <v>1</v>
      </c>
      <c r="B3" s="0" t="n">
        <f aca="false">_xlfn.BINOM.DIST(A3,$F$1,$F$2,0)</f>
        <v>1.3862042184106E-014</v>
      </c>
      <c r="C3" s="0" t="n">
        <f aca="false">STANDARDIZE(A3,$F$3,$F$5)</f>
        <v>-6.32831881684378</v>
      </c>
      <c r="D3" s="0" t="n">
        <f aca="false">_xlfn.NORM.DIST(C3,0,1,0)</f>
        <v>8.02934433685914E-010</v>
      </c>
      <c r="E3" s="1" t="s">
        <v>8</v>
      </c>
      <c r="F3" s="0" t="n">
        <f aca="false">F1*F2</f>
        <v>30</v>
      </c>
      <c r="G3" s="0" t="s">
        <v>9</v>
      </c>
    </row>
    <row r="4" customFormat="false" ht="12.8" hidden="false" customHeight="false" outlineLevel="0" collapsed="false">
      <c r="A4" s="0" t="n">
        <v>2</v>
      </c>
      <c r="B4" s="0" t="n">
        <f aca="false">_xlfn.BINOM.DIST(A4,$F$1,$F$2,0)</f>
        <v>2.94073323477106E-013</v>
      </c>
      <c r="C4" s="0" t="n">
        <f aca="false">STANDARDIZE(A4,$F$3,$F$5)</f>
        <v>-6.11010092660779</v>
      </c>
      <c r="D4" s="0" t="n">
        <f aca="false">_xlfn.NORM.DIST(C4,0,1,0)</f>
        <v>3.11946226833578E-009</v>
      </c>
      <c r="E4" s="1" t="s">
        <v>10</v>
      </c>
      <c r="F4" s="0" t="n">
        <f aca="false">F1*F2*(1-F2)</f>
        <v>21</v>
      </c>
      <c r="G4" s="0" t="s">
        <v>11</v>
      </c>
    </row>
    <row r="5" customFormat="false" ht="12.8" hidden="false" customHeight="false" outlineLevel="0" collapsed="false">
      <c r="A5" s="0" t="n">
        <v>3</v>
      </c>
      <c r="B5" s="0" t="n">
        <f aca="false">_xlfn.BINOM.DIST(A5,$F$1,$F$2,0)</f>
        <v>4.11702652867949E-012</v>
      </c>
      <c r="C5" s="0" t="n">
        <f aca="false">STANDARDIZE(A5,$F$3,$F$5)</f>
        <v>-5.8918830363718</v>
      </c>
      <c r="D5" s="0" t="n">
        <f aca="false">_xlfn.NORM.DIST(C5,0,1,0)</f>
        <v>1.15557649995144E-008</v>
      </c>
      <c r="E5" s="1" t="s">
        <v>12</v>
      </c>
      <c r="F5" s="0" t="n">
        <f aca="false">SQRT(F4)</f>
        <v>4.58257569495584</v>
      </c>
      <c r="G5" s="0" t="s">
        <v>13</v>
      </c>
    </row>
    <row r="6" customFormat="false" ht="12.8" hidden="false" customHeight="false" outlineLevel="0" collapsed="false">
      <c r="A6" s="0" t="n">
        <v>4</v>
      </c>
      <c r="B6" s="0" t="n">
        <f aca="false">_xlfn.BINOM.DIST(A6,$F$1,$F$2,0)</f>
        <v>4.2787668565919E-011</v>
      </c>
      <c r="C6" s="0" t="n">
        <f aca="false">STANDARDIZE(A6,$F$3,$F$5)</f>
        <v>-5.6736651461358</v>
      </c>
      <c r="D6" s="0" t="n">
        <f aca="false">_xlfn.NORM.DIST(C6,0,1,0)</f>
        <v>4.08166141672251E-008</v>
      </c>
    </row>
    <row r="7" customFormat="false" ht="12.8" hidden="false" customHeight="false" outlineLevel="0" collapsed="false">
      <c r="A7" s="0" t="n">
        <v>5</v>
      </c>
      <c r="B7" s="0" t="n">
        <f aca="false">_xlfn.BINOM.DIST(A7,$F$1,$F$2,0)</f>
        <v>3.52081387056705E-010</v>
      </c>
      <c r="C7" s="0" t="n">
        <f aca="false">STANDARDIZE(A7,$F$3,$F$5)</f>
        <v>-5.45544725589981</v>
      </c>
      <c r="D7" s="0" t="n">
        <f aca="false">_xlfn.NORM.DIST(C7,0,1,0)</f>
        <v>1.37465767543395E-007</v>
      </c>
    </row>
    <row r="8" customFormat="false" ht="12.8" hidden="false" customHeight="false" outlineLevel="0" collapsed="false">
      <c r="A8" s="0" t="n">
        <v>6</v>
      </c>
      <c r="B8" s="0" t="n">
        <f aca="false">_xlfn.BINOM.DIST(A8,$F$1,$F$2,0)</f>
        <v>2.38912369788478E-009</v>
      </c>
      <c r="C8" s="0" t="n">
        <f aca="false">STANDARDIZE(A8,$F$3,$F$5)</f>
        <v>-5.23722936566382</v>
      </c>
      <c r="D8" s="0" t="n">
        <f aca="false">_xlfn.NORM.DIST(C8,0,1,0)</f>
        <v>4.414397700041E-007</v>
      </c>
    </row>
    <row r="9" customFormat="false" ht="12.8" hidden="false" customHeight="false" outlineLevel="0" collapsed="false">
      <c r="A9" s="0" t="n">
        <v>7</v>
      </c>
      <c r="B9" s="0" t="n">
        <f aca="false">_xlfn.BINOM.DIST(A9,$F$1,$F$2,0)</f>
        <v>1.37496506694594E-008</v>
      </c>
      <c r="C9" s="0" t="n">
        <f aca="false">STANDARDIZE(A9,$F$3,$F$5)</f>
        <v>-5.01901147542783</v>
      </c>
      <c r="D9" s="0" t="n">
        <f aca="false">_xlfn.NORM.DIST(C9,0,1,0)</f>
        <v>1.35166062557122E-006</v>
      </c>
    </row>
    <row r="10" customFormat="false" ht="12.8" hidden="false" customHeight="false" outlineLevel="0" collapsed="false">
      <c r="A10" s="0" t="n">
        <v>8</v>
      </c>
      <c r="B10" s="0" t="n">
        <f aca="false">_xlfn.BINOM.DIST(A10,$F$1,$F$2,0)</f>
        <v>6.85027238710565E-008</v>
      </c>
      <c r="C10" s="0" t="n">
        <f aca="false">STANDARDIZE(A10,$F$3,$F$5)</f>
        <v>-4.80079358519183</v>
      </c>
      <c r="D10" s="0" t="n">
        <f aca="false">_xlfn.NORM.DIST(C10,0,1,0)</f>
        <v>3.94623713548278E-006</v>
      </c>
    </row>
    <row r="11" customFormat="false" ht="12.8" hidden="false" customHeight="false" outlineLevel="0" collapsed="false">
      <c r="A11" s="0" t="n">
        <v>9</v>
      </c>
      <c r="B11" s="0" t="n">
        <f aca="false">_xlfn.BINOM.DIST(A11,$F$1,$F$2,0)</f>
        <v>3.00107171244629E-007</v>
      </c>
      <c r="C11" s="0" t="n">
        <f aca="false">STANDARDIZE(A11,$F$3,$F$5)</f>
        <v>-4.58257569495584</v>
      </c>
      <c r="D11" s="0" t="n">
        <f aca="false">_xlfn.NORM.DIST(C11,0,1,0)</f>
        <v>1.09854538977466E-005</v>
      </c>
    </row>
    <row r="12" customFormat="false" ht="12.8" hidden="false" customHeight="false" outlineLevel="0" collapsed="false">
      <c r="A12" s="0" t="n">
        <v>10</v>
      </c>
      <c r="B12" s="0" t="n">
        <f aca="false">_xlfn.BINOM.DIST(A12,$F$1,$F$2,0)</f>
        <v>1.17041796785405E-006</v>
      </c>
      <c r="C12" s="0" t="n">
        <f aca="false">STANDARDIZE(A12,$F$3,$F$5)</f>
        <v>-4.36435780471985</v>
      </c>
      <c r="D12" s="0" t="n">
        <f aca="false">_xlfn.NORM.DIST(C12,0,1,0)</f>
        <v>2.91589675737657E-005</v>
      </c>
    </row>
    <row r="13" customFormat="false" ht="12.8" hidden="false" customHeight="false" outlineLevel="0" collapsed="false">
      <c r="A13" s="0" t="n">
        <v>11</v>
      </c>
      <c r="B13" s="0" t="n">
        <f aca="false">_xlfn.BINOM.DIST(A13,$F$1,$F$2,0)</f>
        <v>4.10406300416356E-006</v>
      </c>
      <c r="C13" s="0" t="n">
        <f aca="false">STANDARDIZE(A13,$F$3,$F$5)</f>
        <v>-4.14613991448386</v>
      </c>
      <c r="D13" s="0" t="n">
        <f aca="false">_xlfn.NORM.DIST(C13,0,1,0)</f>
        <v>7.37981696288311E-005</v>
      </c>
    </row>
    <row r="14" customFormat="false" ht="12.8" hidden="false" customHeight="false" outlineLevel="0" collapsed="false">
      <c r="A14" s="0" t="n">
        <v>12</v>
      </c>
      <c r="B14" s="0" t="n">
        <f aca="false">_xlfn.BINOM.DIST(A14,$F$1,$F$2,0)</f>
        <v>1.30450574060913E-005</v>
      </c>
      <c r="C14" s="0" t="n">
        <f aca="false">STANDARDIZE(A14,$F$3,$F$5)</f>
        <v>-3.92792202424786</v>
      </c>
      <c r="D14" s="0" t="n">
        <f aca="false">_xlfn.NORM.DIST(C14,0,1,0)</f>
        <v>0.000178089513812465</v>
      </c>
    </row>
    <row r="15" customFormat="false" ht="12.8" hidden="false" customHeight="false" outlineLevel="0" collapsed="false">
      <c r="A15" s="0" t="n">
        <v>13</v>
      </c>
      <c r="B15" s="0" t="n">
        <f aca="false">_xlfn.BINOM.DIST(A15,$F$1,$F$2,0)</f>
        <v>3.78450017055836E-005</v>
      </c>
      <c r="C15" s="0" t="n">
        <f aca="false">STANDARDIZE(A15,$F$3,$F$5)</f>
        <v>-3.70970413401187</v>
      </c>
      <c r="D15" s="0" t="n">
        <f aca="false">_xlfn.NORM.DIST(C15,0,1,0)</f>
        <v>0.000409779677703307</v>
      </c>
    </row>
    <row r="16" customFormat="false" ht="12.8" hidden="false" customHeight="false" outlineLevel="0" collapsed="false">
      <c r="A16" s="0" t="n">
        <v>14</v>
      </c>
      <c r="B16" s="0" t="n">
        <f aca="false">_xlfn.BINOM.DIST(A16,$F$1,$F$2,0)</f>
        <v>0.000100791280052626</v>
      </c>
      <c r="C16" s="0" t="n">
        <f aca="false">STANDARDIZE(A16,$F$3,$F$5)</f>
        <v>-3.49148624377588</v>
      </c>
      <c r="D16" s="0" t="n">
        <f aca="false">_xlfn.NORM.DIST(C16,0,1,0)</f>
        <v>0.000899045755814207</v>
      </c>
    </row>
    <row r="17" customFormat="false" ht="12.8" hidden="false" customHeight="false" outlineLevel="0" collapsed="false">
      <c r="A17" s="0" t="n">
        <v>15</v>
      </c>
      <c r="B17" s="0" t="n">
        <f aca="false">_xlfn.BINOM.DIST(A17,$F$1,$F$2,0)</f>
        <v>0.000247658573843595</v>
      </c>
      <c r="C17" s="0" t="n">
        <f aca="false">STANDARDIZE(A17,$F$3,$F$5)</f>
        <v>-3.27326835353989</v>
      </c>
      <c r="D17" s="0" t="n">
        <f aca="false">_xlfn.NORM.DIST(C17,0,1,0)</f>
        <v>0.001880756122183</v>
      </c>
    </row>
    <row r="18" customFormat="false" ht="12.8" hidden="false" customHeight="false" outlineLevel="0" collapsed="false">
      <c r="A18" s="0" t="n">
        <v>16</v>
      </c>
      <c r="B18" s="0" t="n">
        <f aca="false">_xlfn.BINOM.DIST(A18,$F$1,$F$2,0)</f>
        <v>0.000563865502947471</v>
      </c>
      <c r="C18" s="0" t="n">
        <f aca="false">STANDARDIZE(A18,$F$3,$F$5)</f>
        <v>-3.05505046330389</v>
      </c>
      <c r="D18" s="0" t="n">
        <f aca="false">_xlfn.NORM.DIST(C18,0,1,0)</f>
        <v>0.003751478688191</v>
      </c>
    </row>
    <row r="19" customFormat="false" ht="12.8" hidden="false" customHeight="false" outlineLevel="0" collapsed="false">
      <c r="A19" s="0" t="n">
        <v>17</v>
      </c>
      <c r="B19" s="0" t="n">
        <f aca="false">_xlfn.BINOM.DIST(A19,$F$1,$F$2,0)</f>
        <v>0.00119406812388876</v>
      </c>
      <c r="C19" s="0" t="n">
        <f aca="false">STANDARDIZE(A19,$F$3,$F$5)</f>
        <v>-2.8368325730679</v>
      </c>
      <c r="D19" s="0" t="n">
        <f aca="false">_xlfn.NORM.DIST(C19,0,1,0)</f>
        <v>0.00713496411845448</v>
      </c>
    </row>
    <row r="20" customFormat="false" ht="12.8" hidden="false" customHeight="false" outlineLevel="0" collapsed="false">
      <c r="A20" s="0" t="n">
        <v>18</v>
      </c>
      <c r="B20" s="0" t="n">
        <f aca="false">_xlfn.BINOM.DIST(A20,$F$1,$F$2,0)</f>
        <v>0.0023597060543516</v>
      </c>
      <c r="C20" s="0" t="n">
        <f aca="false">STANDARDIZE(A20,$F$3,$F$5)</f>
        <v>-2.61861468283191</v>
      </c>
      <c r="D20" s="0" t="n">
        <f aca="false">_xlfn.NORM.DIST(C20,0,1,0)</f>
        <v>0.0129389910833787</v>
      </c>
    </row>
    <row r="21" customFormat="false" ht="12.8" hidden="false" customHeight="false" outlineLevel="0" collapsed="false">
      <c r="A21" s="0" t="n">
        <v>19</v>
      </c>
      <c r="B21" s="0" t="n">
        <f aca="false">_xlfn.BINOM.DIST(A21,$F$1,$F$2,0)</f>
        <v>0.00436456909301123</v>
      </c>
      <c r="C21" s="0" t="n">
        <f aca="false">STANDARDIZE(A21,$F$3,$F$5)</f>
        <v>-2.40039679259592</v>
      </c>
      <c r="D21" s="0" t="n">
        <f aca="false">_xlfn.NORM.DIST(C21,0,1,0)</f>
        <v>0.0223732123237786</v>
      </c>
    </row>
    <row r="22" customFormat="false" ht="12.8" hidden="false" customHeight="false" outlineLevel="0" collapsed="false">
      <c r="A22" s="0" t="n">
        <v>20</v>
      </c>
      <c r="B22" s="0" t="n">
        <f aca="false">_xlfn.BINOM.DIST(A22,$F$1,$F$2,0)</f>
        <v>0.00757564492572664</v>
      </c>
      <c r="C22" s="0" t="n">
        <f aca="false">STANDARDIZE(A22,$F$3,$F$5)</f>
        <v>-2.18217890235992</v>
      </c>
      <c r="D22" s="0" t="n">
        <f aca="false">_xlfn.NORM.DIST(C22,0,1,0)</f>
        <v>0.0368871910521041</v>
      </c>
    </row>
    <row r="23" customFormat="false" ht="12.8" hidden="false" customHeight="false" outlineLevel="0" collapsed="false">
      <c r="A23" s="0" t="n">
        <v>21</v>
      </c>
      <c r="B23" s="0" t="n">
        <f aca="false">_xlfn.BINOM.DIST(A23,$F$1,$F$2,0)</f>
        <v>0.0123683998787374</v>
      </c>
      <c r="C23" s="0" t="n">
        <f aca="false">STANDARDIZE(A23,$F$3,$F$5)</f>
        <v>-1.96396101212393</v>
      </c>
      <c r="D23" s="0" t="n">
        <f aca="false">_xlfn.NORM.DIST(C23,0,1,0)</f>
        <v>0.05798853491958</v>
      </c>
    </row>
    <row r="24" customFormat="false" ht="12.8" hidden="false" customHeight="false" outlineLevel="0" collapsed="false">
      <c r="A24" s="0" t="n">
        <v>22</v>
      </c>
      <c r="B24" s="0" t="n">
        <f aca="false">_xlfn.BINOM.DIST(A24,$F$1,$F$2,0)</f>
        <v>0.0190344855276673</v>
      </c>
      <c r="C24" s="0" t="n">
        <f aca="false">STANDARDIZE(A24,$F$3,$F$5)</f>
        <v>-1.74574312188794</v>
      </c>
      <c r="D24" s="0" t="n">
        <f aca="false">_xlfn.NORM.DIST(C24,0,1,0)</f>
        <v>0.0869216572829077</v>
      </c>
    </row>
    <row r="25" customFormat="false" ht="12.8" hidden="false" customHeight="false" outlineLevel="0" collapsed="false">
      <c r="A25" s="0" t="n">
        <v>23</v>
      </c>
      <c r="B25" s="0" t="n">
        <f aca="false">_xlfn.BINOM.DIST(A25,$F$1,$F$2,0)</f>
        <v>0.0276650286551189</v>
      </c>
      <c r="C25" s="0" t="n">
        <f aca="false">STANDARDIZE(A25,$F$3,$F$5)</f>
        <v>-1.52752523165195</v>
      </c>
      <c r="D25" s="0" t="n">
        <f aca="false">_xlfn.NORM.DIST(C25,0,1,0)</f>
        <v>0.124231912272847</v>
      </c>
    </row>
    <row r="26" customFormat="false" ht="12.8" hidden="false" customHeight="false" outlineLevel="0" collapsed="false">
      <c r="A26" s="0" t="n">
        <v>24</v>
      </c>
      <c r="B26" s="0" t="n">
        <f aca="false">_xlfn.BINOM.DIST(A26,$F$1,$F$2,0)</f>
        <v>0.0380394144007884</v>
      </c>
      <c r="C26" s="0" t="n">
        <f aca="false">STANDARDIZE(A26,$F$3,$F$5)</f>
        <v>-1.30930734141596</v>
      </c>
      <c r="D26" s="0" t="n">
        <f aca="false">_xlfn.NORM.DIST(C26,0,1,0)</f>
        <v>0.169300270794808</v>
      </c>
    </row>
    <row r="27" customFormat="false" ht="12.8" hidden="false" customHeight="false" outlineLevel="0" collapsed="false">
      <c r="A27" s="0" t="n">
        <v>25</v>
      </c>
      <c r="B27" s="0" t="n">
        <f aca="false">_xlfn.BINOM.DIST(A27,$F$1,$F$2,0)</f>
        <v>0.0495599227621701</v>
      </c>
      <c r="C27" s="0" t="n">
        <f aca="false">STANDARDIZE(A27,$F$3,$F$5)</f>
        <v>-1.09108945117996</v>
      </c>
      <c r="D27" s="0" t="n">
        <f aca="false">_xlfn.NORM.DIST(C27,0,1,0)</f>
        <v>0.219989243184125</v>
      </c>
    </row>
    <row r="28" customFormat="false" ht="12.8" hidden="false" customHeight="false" outlineLevel="0" collapsed="false">
      <c r="A28" s="0" t="n">
        <v>26</v>
      </c>
      <c r="B28" s="0" t="n">
        <f aca="false">_xlfn.BINOM.DIST(A28,$F$1,$F$2,0)</f>
        <v>0.0612691352829026</v>
      </c>
      <c r="C28" s="0" t="n">
        <f aca="false">STANDARDIZE(A28,$F$3,$F$5)</f>
        <v>-0.87287156094397</v>
      </c>
      <c r="D28" s="0" t="n">
        <f aca="false">_xlfn.NORM.DIST(C28,0,1,0)</f>
        <v>0.27256152401597</v>
      </c>
    </row>
    <row r="29" customFormat="false" ht="12.8" hidden="false" customHeight="false" outlineLevel="0" collapsed="false">
      <c r="A29" s="0" t="n">
        <v>27</v>
      </c>
      <c r="B29" s="0" t="n">
        <f aca="false">_xlfn.BINOM.DIST(A29,$F$1,$F$2,0)</f>
        <v>0.0719669208084888</v>
      </c>
      <c r="C29" s="0" t="n">
        <f aca="false">STANDARDIZE(A29,$F$3,$F$5)</f>
        <v>-0.654653670707978</v>
      </c>
      <c r="D29" s="0" t="n">
        <f aca="false">_xlfn.NORM.DIST(C29,0,1,0)</f>
        <v>0.321993394542796</v>
      </c>
    </row>
    <row r="30" customFormat="false" ht="12.8" hidden="false" customHeight="false" outlineLevel="0" collapsed="false">
      <c r="A30" s="0" t="n">
        <v>28</v>
      </c>
      <c r="B30" s="0" t="n">
        <f aca="false">_xlfn.BINOM.DIST(A30,$F$1,$F$2,0)</f>
        <v>0.0804120186584646</v>
      </c>
      <c r="C30" s="0" t="n">
        <f aca="false">STANDARDIZE(A30,$F$3,$F$5)</f>
        <v>-0.436435780471986</v>
      </c>
      <c r="D30" s="0" t="n">
        <f aca="false">_xlfn.NORM.DIST(C30,0,1,0)</f>
        <v>0.362700944562891</v>
      </c>
    </row>
    <row r="31" customFormat="false" ht="12.8" hidden="false" customHeight="false" outlineLevel="0" collapsed="false">
      <c r="A31" s="0" t="n">
        <v>29</v>
      </c>
      <c r="B31" s="0" t="n">
        <f aca="false">_xlfn.BINOM.DIST(A31,$F$1,$F$2,0)</f>
        <v>0.0855615567991544</v>
      </c>
      <c r="C31" s="0" t="n">
        <f aca="false">STANDARDIZE(A31,$F$3,$F$5)</f>
        <v>-0.218217890235993</v>
      </c>
      <c r="D31" s="0" t="n">
        <f aca="false">_xlfn.NORM.DIST(C31,0,1,0)</f>
        <v>0.389555841420479</v>
      </c>
    </row>
    <row r="32" customFormat="false" ht="12.8" hidden="false" customHeight="false" outlineLevel="0" collapsed="false">
      <c r="A32" s="0" t="n">
        <v>30</v>
      </c>
      <c r="B32" s="0" t="n">
        <f aca="false">_xlfn.BINOM.DIST(A32,$F$1,$F$2,0)</f>
        <v>0.0867838647534281</v>
      </c>
      <c r="C32" s="0" t="n">
        <f aca="false">STANDARDIZE(A32,$F$3,$F$5)</f>
        <v>-7.75265683600397E-016</v>
      </c>
      <c r="D32" s="0" t="n">
        <f aca="false">_xlfn.NORM.DIST(C32,0,1,0)</f>
        <v>0.398942280401433</v>
      </c>
    </row>
    <row r="33" customFormat="false" ht="12.8" hidden="false" customHeight="false" outlineLevel="0" collapsed="false">
      <c r="A33" s="0" t="n">
        <v>31</v>
      </c>
      <c r="B33" s="0" t="n">
        <f aca="false">_xlfn.BINOM.DIST(A33,$F$1,$F$2,0)</f>
        <v>0.083984385245253</v>
      </c>
      <c r="C33" s="0" t="n">
        <f aca="false">STANDARDIZE(A33,$F$3,$F$5)</f>
        <v>0.218217890235992</v>
      </c>
      <c r="D33" s="0" t="n">
        <f aca="false">_xlfn.NORM.DIST(C33,0,1,0)</f>
        <v>0.389555841420479</v>
      </c>
    </row>
    <row r="34" customFormat="false" ht="12.8" hidden="false" customHeight="false" outlineLevel="0" collapsed="false">
      <c r="A34" s="0" t="n">
        <v>32</v>
      </c>
      <c r="B34" s="0" t="n">
        <f aca="false">_xlfn.BINOM.DIST(A34,$F$1,$F$2,0)</f>
        <v>0.0776105702936044</v>
      </c>
      <c r="C34" s="0" t="n">
        <f aca="false">STANDARDIZE(A34,$F$3,$F$5)</f>
        <v>0.436435780471984</v>
      </c>
      <c r="D34" s="0" t="n">
        <f aca="false">_xlfn.NORM.DIST(C34,0,1,0)</f>
        <v>0.362700944562891</v>
      </c>
    </row>
    <row r="35" customFormat="false" ht="12.8" hidden="false" customHeight="false" outlineLevel="0" collapsed="false">
      <c r="A35" s="0" t="n">
        <v>33</v>
      </c>
      <c r="B35" s="0" t="n">
        <f aca="false">_xlfn.BINOM.DIST(A35,$F$1,$F$2,0)</f>
        <v>0.0685392049346116</v>
      </c>
      <c r="C35" s="0" t="n">
        <f aca="false">STANDARDIZE(A35,$F$3,$F$5)</f>
        <v>0.654653670707976</v>
      </c>
      <c r="D35" s="0" t="n">
        <f aca="false">_xlfn.NORM.DIST(C35,0,1,0)</f>
        <v>0.321993394542797</v>
      </c>
    </row>
    <row r="36" customFormat="false" ht="12.8" hidden="false" customHeight="false" outlineLevel="0" collapsed="false">
      <c r="A36" s="0" t="n">
        <v>34</v>
      </c>
      <c r="B36" s="0" t="n">
        <f aca="false">_xlfn.BINOM.DIST(A36,$F$1,$F$2,0)</f>
        <v>0.0578839503859535</v>
      </c>
      <c r="C36" s="0" t="n">
        <f aca="false">STANDARDIZE(A36,$F$3,$F$5)</f>
        <v>0.872871560943969</v>
      </c>
      <c r="D36" s="0" t="n">
        <f aca="false">_xlfn.NORM.DIST(C36,0,1,0)</f>
        <v>0.272561524015971</v>
      </c>
    </row>
    <row r="37" customFormat="false" ht="12.8" hidden="false" customHeight="false" outlineLevel="0" collapsed="false">
      <c r="A37" s="0" t="n">
        <v>35</v>
      </c>
      <c r="B37" s="0" t="n">
        <f aca="false">_xlfn.BINOM.DIST(A37,$F$1,$F$2,0)</f>
        <v>0.0467796823527298</v>
      </c>
      <c r="C37" s="0" t="n">
        <f aca="false">STANDARDIZE(A37,$F$3,$F$5)</f>
        <v>1.09108945117996</v>
      </c>
      <c r="D37" s="0" t="n">
        <f aca="false">_xlfn.NORM.DIST(C37,0,1,0)</f>
        <v>0.219989243184126</v>
      </c>
    </row>
    <row r="38" customFormat="false" ht="12.8" hidden="false" customHeight="false" outlineLevel="0" collapsed="false">
      <c r="A38" s="0" t="n">
        <v>36</v>
      </c>
      <c r="B38" s="0" t="n">
        <f aca="false">_xlfn.BINOM.DIST(A38,$F$1,$F$2,0)</f>
        <v>0.0361985637253267</v>
      </c>
      <c r="C38" s="0" t="n">
        <f aca="false">STANDARDIZE(A38,$F$3,$F$5)</f>
        <v>1.30930734141595</v>
      </c>
      <c r="D38" s="0" t="n">
        <f aca="false">_xlfn.NORM.DIST(C38,0,1,0)</f>
        <v>0.169300270794808</v>
      </c>
    </row>
    <row r="39" customFormat="false" ht="12.8" hidden="false" customHeight="false" outlineLevel="0" collapsed="false">
      <c r="A39" s="0" t="n">
        <v>37</v>
      </c>
      <c r="B39" s="0" t="n">
        <f aca="false">_xlfn.BINOM.DIST(A39,$F$1,$F$2,0)</f>
        <v>0.0268344565068059</v>
      </c>
      <c r="C39" s="0" t="n">
        <f aca="false">STANDARDIZE(A39,$F$3,$F$5)</f>
        <v>1.52752523165195</v>
      </c>
      <c r="D39" s="0" t="n">
        <f aca="false">_xlfn.NORM.DIST(C39,0,1,0)</f>
        <v>0.124231912272848</v>
      </c>
    </row>
    <row r="40" customFormat="false" ht="12.8" hidden="false" customHeight="false" outlineLevel="0" collapsed="false">
      <c r="A40" s="0" t="n">
        <v>38</v>
      </c>
      <c r="B40" s="0" t="n">
        <f aca="false">_xlfn.BINOM.DIST(A40,$F$1,$F$2,0)</f>
        <v>0.0190665875179936</v>
      </c>
      <c r="C40" s="0" t="n">
        <f aca="false">STANDARDIZE(A40,$F$3,$F$5)</f>
        <v>1.74574312188794</v>
      </c>
      <c r="D40" s="0" t="n">
        <f aca="false">_xlfn.NORM.DIST(C40,0,1,0)</f>
        <v>0.086921657282908</v>
      </c>
    </row>
    <row r="41" customFormat="false" ht="12.8" hidden="false" customHeight="false" outlineLevel="0" collapsed="false">
      <c r="A41" s="0" t="n">
        <v>39</v>
      </c>
      <c r="B41" s="0" t="n">
        <f aca="false">_xlfn.BINOM.DIST(A41,$F$1,$F$2,0)</f>
        <v>0.0129904222650067</v>
      </c>
      <c r="C41" s="0" t="n">
        <f aca="false">STANDARDIZE(A41,$F$3,$F$5)</f>
        <v>1.96396101212393</v>
      </c>
      <c r="D41" s="0" t="n">
        <f aca="false">_xlfn.NORM.DIST(C41,0,1,0)</f>
        <v>0.0579885349195802</v>
      </c>
    </row>
    <row r="42" customFormat="false" ht="12.8" hidden="false" customHeight="false" outlineLevel="0" collapsed="false">
      <c r="A42" s="0" t="n">
        <v>40</v>
      </c>
      <c r="B42" s="0" t="n">
        <f aca="false">_xlfn.BINOM.DIST(A42,$F$1,$F$2,0)</f>
        <v>0.0084901688374865</v>
      </c>
      <c r="C42" s="0" t="n">
        <f aca="false">STANDARDIZE(A42,$F$3,$F$5)</f>
        <v>2.18217890235992</v>
      </c>
      <c r="D42" s="0" t="n">
        <f aca="false">_xlfn.NORM.DIST(C42,0,1,0)</f>
        <v>0.0368871910521042</v>
      </c>
    </row>
    <row r="43" customFormat="false" ht="12.8" hidden="false" customHeight="false" outlineLevel="0" collapsed="false">
      <c r="A43" s="0" t="n">
        <v>41</v>
      </c>
      <c r="B43" s="0" t="n">
        <f aca="false">_xlfn.BINOM.DIST(A43,$F$1,$F$2,0)</f>
        <v>0.00532484456706471</v>
      </c>
      <c r="C43" s="0" t="n">
        <f aca="false">STANDARDIZE(A43,$F$3,$F$5)</f>
        <v>2.40039679259592</v>
      </c>
      <c r="D43" s="0" t="n">
        <f aca="false">_xlfn.NORM.DIST(C43,0,1,0)</f>
        <v>0.0223732123237787</v>
      </c>
    </row>
    <row r="44" customFormat="false" ht="12.8" hidden="false" customHeight="false" outlineLevel="0" collapsed="false">
      <c r="A44" s="0" t="n">
        <v>42</v>
      </c>
      <c r="B44" s="0" t="n">
        <f aca="false">_xlfn.BINOM.DIST(A44,$F$1,$F$2,0)</f>
        <v>0.00320577376996753</v>
      </c>
      <c r="C44" s="0" t="n">
        <f aca="false">STANDARDIZE(A44,$F$3,$F$5)</f>
        <v>2.61861468283191</v>
      </c>
      <c r="D44" s="0" t="n">
        <f aca="false">_xlfn.NORM.DIST(C44,0,1,0)</f>
        <v>0.0129389910833788</v>
      </c>
    </row>
    <row r="45" customFormat="false" ht="12.8" hidden="false" customHeight="false" outlineLevel="0" collapsed="false">
      <c r="A45" s="0" t="n">
        <v>43</v>
      </c>
      <c r="B45" s="0" t="n">
        <f aca="false">_xlfn.BINOM.DIST(A45,$F$1,$F$2,0)</f>
        <v>0.00185317154808754</v>
      </c>
      <c r="C45" s="0" t="n">
        <f aca="false">STANDARDIZE(A45,$F$3,$F$5)</f>
        <v>2.8368325730679</v>
      </c>
      <c r="D45" s="0" t="n">
        <f aca="false">_xlfn.NORM.DIST(C45,0,1,0)</f>
        <v>0.0071349641184545</v>
      </c>
    </row>
    <row r="46" customFormat="false" ht="12.8" hidden="false" customHeight="false" outlineLevel="0" collapsed="false">
      <c r="A46" s="0" t="n">
        <v>44</v>
      </c>
      <c r="B46" s="0" t="n">
        <f aca="false">_xlfn.BINOM.DIST(A46,$F$1,$F$2,0)</f>
        <v>0.00102887121663302</v>
      </c>
      <c r="C46" s="0" t="n">
        <f aca="false">STANDARDIZE(A46,$F$3,$F$5)</f>
        <v>3.05505046330389</v>
      </c>
      <c r="D46" s="0" t="n">
        <f aca="false">_xlfn.NORM.DIST(C46,0,1,0)</f>
        <v>0.00375147868819102</v>
      </c>
    </row>
    <row r="47" customFormat="false" ht="12.8" hidden="false" customHeight="false" outlineLevel="0" collapsed="false">
      <c r="A47" s="0" t="n">
        <v>45</v>
      </c>
      <c r="B47" s="0" t="n">
        <f aca="false">_xlfn.BINOM.DIST(A47,$F$1,$F$2,0)</f>
        <v>0.00054873131553761</v>
      </c>
      <c r="C47" s="0" t="n">
        <f aca="false">STANDARDIZE(A47,$F$3,$F$5)</f>
        <v>3.27326835353989</v>
      </c>
      <c r="D47" s="0" t="n">
        <f aca="false">_xlfn.NORM.DIST(C47,0,1,0)</f>
        <v>0.00188075612218301</v>
      </c>
    </row>
    <row r="48" customFormat="false" ht="12.8" hidden="false" customHeight="false" outlineLevel="0" collapsed="false">
      <c r="A48" s="0" t="n">
        <v>46</v>
      </c>
      <c r="B48" s="0" t="n">
        <f aca="false">_xlfn.BINOM.DIST(A48,$F$1,$F$2,0)</f>
        <v>0.000281182195850018</v>
      </c>
      <c r="C48" s="0" t="n">
        <f aca="false">STANDARDIZE(A48,$F$3,$F$5)</f>
        <v>3.49148624377588</v>
      </c>
      <c r="D48" s="0" t="n">
        <f aca="false">_xlfn.NORM.DIST(C48,0,1,0)</f>
        <v>0.000899045755814213</v>
      </c>
    </row>
    <row r="49" customFormat="false" ht="12.8" hidden="false" customHeight="false" outlineLevel="0" collapsed="false">
      <c r="A49" s="0" t="n">
        <v>47</v>
      </c>
      <c r="B49" s="0" t="n">
        <f aca="false">_xlfn.BINOM.DIST(A49,$F$1,$F$2,0)</f>
        <v>0.000138454455099401</v>
      </c>
      <c r="C49" s="0" t="n">
        <f aca="false">STANDARDIZE(A49,$F$3,$F$5)</f>
        <v>3.70970413401187</v>
      </c>
      <c r="D49" s="0" t="n">
        <f aca="false">_xlfn.NORM.DIST(C49,0,1,0)</f>
        <v>0.000409779677703309</v>
      </c>
    </row>
    <row r="50" customFormat="false" ht="12.8" hidden="false" customHeight="false" outlineLevel="0" collapsed="false">
      <c r="A50" s="0" t="n">
        <v>48</v>
      </c>
      <c r="B50" s="0" t="n">
        <f aca="false">_xlfn.BINOM.DIST(A50,$F$1,$F$2,0)</f>
        <v>6.55186260738236E-005</v>
      </c>
      <c r="C50" s="0" t="n">
        <f aca="false">STANDARDIZE(A50,$F$3,$F$5)</f>
        <v>3.92792202424786</v>
      </c>
      <c r="D50" s="0" t="n">
        <f aca="false">_xlfn.NORM.DIST(C50,0,1,0)</f>
        <v>0.000178089513812466</v>
      </c>
    </row>
    <row r="51" customFormat="false" ht="12.8" hidden="false" customHeight="false" outlineLevel="0" collapsed="false">
      <c r="A51" s="0" t="n">
        <v>49</v>
      </c>
      <c r="B51" s="0" t="n">
        <f aca="false">_xlfn.BINOM.DIST(A51,$F$1,$F$2,0)</f>
        <v>2.97985587974241E-005</v>
      </c>
      <c r="C51" s="0" t="n">
        <f aca="false">STANDARDIZE(A51,$F$3,$F$5)</f>
        <v>4.14613991448385</v>
      </c>
      <c r="D51" s="0" t="n">
        <f aca="false">_xlfn.NORM.DIST(C51,0,1,0)</f>
        <v>7.37981696288316E-005</v>
      </c>
    </row>
    <row r="52" customFormat="false" ht="12.8" hidden="false" customHeight="false" outlineLevel="0" collapsed="false">
      <c r="A52" s="0" t="n">
        <v>50</v>
      </c>
      <c r="B52" s="0" t="n">
        <f aca="false">_xlfn.BINOM.DIST(A52,$F$1,$F$2,0)</f>
        <v>1.30262271314454E-005</v>
      </c>
      <c r="C52" s="0" t="n">
        <f aca="false">STANDARDIZE(A52,$F$3,$F$5)</f>
        <v>4.36435780471985</v>
      </c>
      <c r="D52" s="0" t="n">
        <f aca="false">_xlfn.NORM.DIST(C52,0,1,0)</f>
        <v>2.91589675737658E-005</v>
      </c>
    </row>
    <row r="53" customFormat="false" ht="12.8" hidden="false" customHeight="false" outlineLevel="0" collapsed="false">
      <c r="A53" s="0" t="n">
        <v>51</v>
      </c>
      <c r="B53" s="0" t="n">
        <f aca="false">_xlfn.BINOM.DIST(A53,$F$1,$F$2,0)</f>
        <v>5.47320467707791E-006</v>
      </c>
      <c r="C53" s="0" t="n">
        <f aca="false">STANDARDIZE(A53,$F$3,$F$5)</f>
        <v>4.58257569495584</v>
      </c>
      <c r="D53" s="0" t="n">
        <f aca="false">_xlfn.NORM.DIST(C53,0,1,0)</f>
        <v>1.09854538977467E-005</v>
      </c>
    </row>
    <row r="54" customFormat="false" ht="12.8" hidden="false" customHeight="false" outlineLevel="0" collapsed="false">
      <c r="A54" s="0" t="n">
        <v>52</v>
      </c>
      <c r="B54" s="0" t="n">
        <f aca="false">_xlfn.BINOM.DIST(A54,$F$1,$F$2,0)</f>
        <v>2.21033265805069E-006</v>
      </c>
      <c r="C54" s="0" t="n">
        <f aca="false">STANDARDIZE(A54,$F$3,$F$5)</f>
        <v>4.80079358519183</v>
      </c>
      <c r="D54" s="0" t="n">
        <f aca="false">_xlfn.NORM.DIST(C54,0,1,0)</f>
        <v>3.94623713548281E-006</v>
      </c>
    </row>
    <row r="55" customFormat="false" ht="12.8" hidden="false" customHeight="false" outlineLevel="0" collapsed="false">
      <c r="A55" s="0" t="n">
        <v>53</v>
      </c>
      <c r="B55" s="0" t="n">
        <f aca="false">_xlfn.BINOM.DIST(A55,$F$1,$F$2,0)</f>
        <v>8.57918875361995E-007</v>
      </c>
      <c r="C55" s="0" t="n">
        <f aca="false">STANDARDIZE(A55,$F$3,$F$5)</f>
        <v>5.01901147542782</v>
      </c>
      <c r="D55" s="0" t="n">
        <f aca="false">_xlfn.NORM.DIST(C55,0,1,0)</f>
        <v>1.35166062557123E-006</v>
      </c>
    </row>
    <row r="56" customFormat="false" ht="12.8" hidden="false" customHeight="false" outlineLevel="0" collapsed="false">
      <c r="A56" s="0" t="n">
        <v>54</v>
      </c>
      <c r="B56" s="0" t="n">
        <f aca="false">_xlfn.BINOM.DIST(A56,$F$1,$F$2,0)</f>
        <v>3.2001735826995E-007</v>
      </c>
      <c r="C56" s="0" t="n">
        <f aca="false">STANDARDIZE(A56,$F$3,$F$5)</f>
        <v>5.23722936566382</v>
      </c>
      <c r="D56" s="0" t="n">
        <f aca="false">_xlfn.NORM.DIST(C56,0,1,0)</f>
        <v>4.41439770004104E-007</v>
      </c>
    </row>
    <row r="57" customFormat="false" ht="12.8" hidden="false" customHeight="false" outlineLevel="0" collapsed="false">
      <c r="A57" s="0" t="n">
        <v>55</v>
      </c>
      <c r="B57" s="0" t="n">
        <f aca="false">_xlfn.BINOM.DIST(A57,$F$1,$F$2,0)</f>
        <v>1.14707520626632E-007</v>
      </c>
      <c r="C57" s="0" t="n">
        <f aca="false">STANDARDIZE(A57,$F$3,$F$5)</f>
        <v>5.45544725589981</v>
      </c>
      <c r="D57" s="0" t="n">
        <f aca="false">_xlfn.NORM.DIST(C57,0,1,0)</f>
        <v>1.37465767543396E-007</v>
      </c>
    </row>
    <row r="58" customFormat="false" ht="12.8" hidden="false" customHeight="false" outlineLevel="0" collapsed="false">
      <c r="A58" s="0" t="n">
        <v>56</v>
      </c>
      <c r="B58" s="0" t="n">
        <f aca="false">_xlfn.BINOM.DIST(A58,$F$1,$F$2,0)</f>
        <v>3.95038655219267E-008</v>
      </c>
      <c r="C58" s="0" t="n">
        <f aca="false">STANDARDIZE(A58,$F$3,$F$5)</f>
        <v>5.6736651461358</v>
      </c>
      <c r="D58" s="0" t="n">
        <f aca="false">_xlfn.NORM.DIST(C58,0,1,0)</f>
        <v>4.08166141672254E-008</v>
      </c>
    </row>
    <row r="59" customFormat="false" ht="12.8" hidden="false" customHeight="false" outlineLevel="0" collapsed="false">
      <c r="A59" s="0" t="n">
        <v>57</v>
      </c>
      <c r="B59" s="0" t="n">
        <f aca="false">_xlfn.BINOM.DIST(A59,$F$1,$F$2,0)</f>
        <v>1.30689479922164E-008</v>
      </c>
      <c r="C59" s="0" t="n">
        <f aca="false">STANDARDIZE(A59,$F$3,$F$5)</f>
        <v>5.89188303637179</v>
      </c>
      <c r="D59" s="0" t="n">
        <f aca="false">_xlfn.NORM.DIST(C59,0,1,0)</f>
        <v>1.15557649995145E-008</v>
      </c>
    </row>
    <row r="60" customFormat="false" ht="12.8" hidden="false" customHeight="false" outlineLevel="0" collapsed="false">
      <c r="A60" s="0" t="n">
        <v>58</v>
      </c>
      <c r="B60" s="0" t="n">
        <f aca="false">_xlfn.BINOM.DIST(A60,$F$1,$F$2,0)</f>
        <v>4.15244899260077E-009</v>
      </c>
      <c r="C60" s="0" t="n">
        <f aca="false">STANDARDIZE(A60,$F$3,$F$5)</f>
        <v>6.11010092660779</v>
      </c>
      <c r="D60" s="0" t="n">
        <f aca="false">_xlfn.NORM.DIST(C60,0,1,0)</f>
        <v>3.11946226833581E-009</v>
      </c>
    </row>
    <row r="61" customFormat="false" ht="12.8" hidden="false" customHeight="false" outlineLevel="0" collapsed="false">
      <c r="A61" s="0" t="n">
        <v>59</v>
      </c>
      <c r="B61" s="0" t="n">
        <f aca="false">_xlfn.BINOM.DIST(A61,$F$1,$F$2,0)</f>
        <v>1.26684884520023E-009</v>
      </c>
      <c r="C61" s="0" t="n">
        <f aca="false">STANDARDIZE(A61,$F$3,$F$5)</f>
        <v>6.32831881684378</v>
      </c>
      <c r="D61" s="0" t="n">
        <f aca="false">_xlfn.NORM.DIST(C61,0,1,0)</f>
        <v>8.02934433685923E-010</v>
      </c>
    </row>
    <row r="62" customFormat="false" ht="12.8" hidden="false" customHeight="false" outlineLevel="0" collapsed="false">
      <c r="A62" s="0" t="n">
        <v>60</v>
      </c>
      <c r="B62" s="0" t="n">
        <f aca="false">_xlfn.BINOM.DIST(A62,$F$1,$F$2,0)</f>
        <v>3.71005733237211E-010</v>
      </c>
      <c r="C62" s="0" t="n">
        <f aca="false">STANDARDIZE(A62,$F$3,$F$5)</f>
        <v>6.54653670707977</v>
      </c>
      <c r="D62" s="0" t="n">
        <f aca="false">_xlfn.NORM.DIST(C62,0,1,0)</f>
        <v>1.97060572116876E-010</v>
      </c>
    </row>
    <row r="63" customFormat="false" ht="12.8" hidden="false" customHeight="false" outlineLevel="0" collapsed="false">
      <c r="A63" s="0" t="n">
        <v>61</v>
      </c>
      <c r="B63" s="0" t="n">
        <f aca="false">_xlfn.BINOM.DIST(A63,$F$1,$F$2,0)</f>
        <v>1.04263906296172E-010</v>
      </c>
      <c r="C63" s="0" t="n">
        <f aca="false">STANDARDIZE(A63,$F$3,$F$5)</f>
        <v>6.76475459731576</v>
      </c>
      <c r="D63" s="0" t="n">
        <f aca="false">_xlfn.NORM.DIST(C63,0,1,0)</f>
        <v>4.61146276267437E-011</v>
      </c>
    </row>
    <row r="64" customFormat="false" ht="12.8" hidden="false" customHeight="false" outlineLevel="0" collapsed="false">
      <c r="A64" s="0" t="n">
        <v>62</v>
      </c>
      <c r="B64" s="0" t="n">
        <f aca="false">_xlfn.BINOM.DIST(A64,$F$1,$F$2,0)</f>
        <v>2.81080116051892E-011</v>
      </c>
      <c r="C64" s="0" t="n">
        <f aca="false">STANDARDIZE(A64,$F$3,$F$5)</f>
        <v>6.98297248755176</v>
      </c>
      <c r="D64" s="0" t="n">
        <f aca="false">_xlfn.NORM.DIST(C64,0,1,0)</f>
        <v>1.02895642475405E-011</v>
      </c>
    </row>
    <row r="65" customFormat="false" ht="12.8" hidden="false" customHeight="false" outlineLevel="0" collapsed="false">
      <c r="A65" s="0" t="n">
        <v>63</v>
      </c>
      <c r="B65" s="0" t="n">
        <f aca="false">_xlfn.BINOM.DIST(A65,$F$1,$F$2,0)</f>
        <v>7.26601660542306E-012</v>
      </c>
      <c r="C65" s="0" t="n">
        <f aca="false">STANDARDIZE(A65,$F$3,$F$5)</f>
        <v>7.20119037778775</v>
      </c>
      <c r="D65" s="0" t="n">
        <f aca="false">_xlfn.NORM.DIST(C65,0,1,0)</f>
        <v>2.18914521347041E-012</v>
      </c>
    </row>
    <row r="66" customFormat="false" ht="12.8" hidden="false" customHeight="false" outlineLevel="0" collapsed="false">
      <c r="A66" s="0" t="n">
        <v>64</v>
      </c>
      <c r="B66" s="0" t="n">
        <f aca="false">_xlfn.BINOM.DIST(A66,$F$1,$F$2,0)</f>
        <v>1.80028536429009E-012</v>
      </c>
      <c r="C66" s="0" t="n">
        <f aca="false">STANDARDIZE(A66,$F$3,$F$5)</f>
        <v>7.41940826802374</v>
      </c>
      <c r="D66" s="0" t="n">
        <f aca="false">_xlfn.NORM.DIST(C66,0,1,0)</f>
        <v>4.44090485525183E-013</v>
      </c>
    </row>
    <row r="67" customFormat="false" ht="12.8" hidden="false" customHeight="false" outlineLevel="0" collapsed="false">
      <c r="A67" s="0" t="n">
        <v>65</v>
      </c>
      <c r="B67" s="0" t="n">
        <f aca="false">_xlfn.BINOM.DIST(A67,$F$1,$F$2,0)</f>
        <v>4.27320482073252E-013</v>
      </c>
      <c r="C67" s="0" t="n">
        <f aca="false">STANDARDIZE(A67,$F$3,$F$5)</f>
        <v>7.63762615825973</v>
      </c>
      <c r="D67" s="0" t="n">
        <f aca="false">_xlfn.NORM.DIST(C67,0,1,0)</f>
        <v>8.58989147504762E-014</v>
      </c>
    </row>
    <row r="68" customFormat="false" ht="12.8" hidden="false" customHeight="false" outlineLevel="0" collapsed="false">
      <c r="A68" s="0" t="n">
        <v>66</v>
      </c>
      <c r="B68" s="0" t="n">
        <f aca="false">_xlfn.BINOM.DIST(A68,$F$1,$F$2,0)</f>
        <v>9.71182913802845E-014</v>
      </c>
      <c r="C68" s="0" t="n">
        <f aca="false">STANDARDIZE(A68,$F$3,$F$5)</f>
        <v>7.85584404849573</v>
      </c>
      <c r="D68" s="0" t="n">
        <f aca="false">_xlfn.NORM.DIST(C68,0,1,0)</f>
        <v>1.58424810262035E-014</v>
      </c>
    </row>
    <row r="69" customFormat="false" ht="12.8" hidden="false" customHeight="false" outlineLevel="0" collapsed="false">
      <c r="A69" s="0" t="n">
        <v>67</v>
      </c>
      <c r="B69" s="0" t="n">
        <f aca="false">_xlfn.BINOM.DIST(A69,$F$1,$F$2,0)</f>
        <v>2.11216753108508E-014</v>
      </c>
      <c r="C69" s="0" t="n">
        <f aca="false">STANDARDIZE(A69,$F$3,$F$5)</f>
        <v>8.07406193873172</v>
      </c>
      <c r="D69" s="0" t="n">
        <f aca="false">_xlfn.NORM.DIST(C69,0,1,0)</f>
        <v>2.78598019470368E-015</v>
      </c>
    </row>
    <row r="70" customFormat="false" ht="12.8" hidden="false" customHeight="false" outlineLevel="0" collapsed="false">
      <c r="A70" s="0" t="n">
        <v>68</v>
      </c>
      <c r="B70" s="0" t="n">
        <f aca="false">_xlfn.BINOM.DIST(A70,$F$1,$F$2,0)</f>
        <v>4.39295347851729E-015</v>
      </c>
      <c r="C70" s="0" t="n">
        <f aca="false">STANDARDIZE(A70,$F$3,$F$5)</f>
        <v>8.29227982896771</v>
      </c>
      <c r="D70" s="0" t="n">
        <f aca="false">_xlfn.NORM.DIST(C70,0,1,0)</f>
        <v>4.6714549412491E-016</v>
      </c>
    </row>
    <row r="71" customFormat="false" ht="12.8" hidden="false" customHeight="false" outlineLevel="0" collapsed="false">
      <c r="A71" s="0" t="n">
        <v>69</v>
      </c>
      <c r="B71" s="0" t="n">
        <f aca="false">_xlfn.BINOM.DIST(A71,$F$1,$F$2,0)</f>
        <v>8.73133610636977E-016</v>
      </c>
      <c r="C71" s="0" t="n">
        <f aca="false">STANDARDIZE(A71,$F$3,$F$5)</f>
        <v>8.5104977192037</v>
      </c>
      <c r="D71" s="0" t="n">
        <f aca="false">_xlfn.NORM.DIST(C71,0,1,0)</f>
        <v>7.46871029829636E-017</v>
      </c>
    </row>
    <row r="72" customFormat="false" ht="12.8" hidden="false" customHeight="false" outlineLevel="0" collapsed="false">
      <c r="A72" s="0" t="n">
        <v>70</v>
      </c>
      <c r="B72" s="0" t="n">
        <f aca="false">_xlfn.BINOM.DIST(A72,$F$1,$F$2,0)</f>
        <v>1.65717195488243E-016</v>
      </c>
      <c r="C72" s="0" t="n">
        <f aca="false">STANDARDIZE(A72,$F$3,$F$5)</f>
        <v>8.7287156094397</v>
      </c>
      <c r="D72" s="0" t="n">
        <f aca="false">_xlfn.NORM.DIST(C72,0,1,0)</f>
        <v>1.13856642878416E-017</v>
      </c>
    </row>
    <row r="73" customFormat="false" ht="12.8" hidden="false" customHeight="false" outlineLevel="0" collapsed="false">
      <c r="A73" s="0" t="n">
        <v>71</v>
      </c>
      <c r="B73" s="0" t="n">
        <f aca="false">_xlfn.BINOM.DIST(A73,$F$1,$F$2,0)</f>
        <v>3.00091500884141E-017</v>
      </c>
      <c r="C73" s="0" t="n">
        <f aca="false">STANDARDIZE(A73,$F$3,$F$5)</f>
        <v>8.94693349967569</v>
      </c>
      <c r="D73" s="0" t="n">
        <f aca="false">_xlfn.NORM.DIST(C73,0,1,0)</f>
        <v>1.65497121657237E-018</v>
      </c>
    </row>
    <row r="74" customFormat="false" ht="12.8" hidden="false" customHeight="false" outlineLevel="0" collapsed="false">
      <c r="A74" s="0" t="n">
        <v>72</v>
      </c>
      <c r="B74" s="0" t="n">
        <f aca="false">_xlfn.BINOM.DIST(A74,$F$1,$F$2,0)</f>
        <v>5.18015090811911E-018</v>
      </c>
      <c r="C74" s="0" t="n">
        <f aca="false">STANDARDIZE(A74,$F$3,$F$5)</f>
        <v>9.16515138991168</v>
      </c>
      <c r="D74" s="0" t="n">
        <f aca="false">_xlfn.NORM.DIST(C74,0,1,0)</f>
        <v>2.29372752333608E-019</v>
      </c>
    </row>
    <row r="75" customFormat="false" ht="12.8" hidden="false" customHeight="false" outlineLevel="0" collapsed="false">
      <c r="A75" s="0" t="n">
        <v>73</v>
      </c>
      <c r="B75" s="0" t="n">
        <f aca="false">_xlfn.BINOM.DIST(A75,$F$1,$F$2,0)</f>
        <v>8.51531656129169E-019</v>
      </c>
      <c r="C75" s="0" t="n">
        <f aca="false">STANDARDIZE(A75,$F$3,$F$5)</f>
        <v>9.38336928014767</v>
      </c>
      <c r="D75" s="0" t="n">
        <f aca="false">_xlfn.NORM.DIST(C75,0,1,0)</f>
        <v>3.03118551739889E-020</v>
      </c>
    </row>
    <row r="76" customFormat="false" ht="12.8" hidden="false" customHeight="false" outlineLevel="0" collapsed="false">
      <c r="A76" s="0" t="n">
        <v>74</v>
      </c>
      <c r="B76" s="0" t="n">
        <f aca="false">_xlfn.BINOM.DIST(A76,$F$1,$F$2,0)</f>
        <v>1.3315456398931E-019</v>
      </c>
      <c r="C76" s="0" t="n">
        <f aca="false">STANDARDIZE(A76,$F$3,$F$5)</f>
        <v>9.60158717038367</v>
      </c>
      <c r="D76" s="0" t="n">
        <f aca="false">_xlfn.NORM.DIST(C76,0,1,0)</f>
        <v>3.81946486241514E-021</v>
      </c>
    </row>
    <row r="77" customFormat="false" ht="12.8" hidden="false" customHeight="false" outlineLevel="0" collapsed="false">
      <c r="A77" s="0" t="n">
        <v>75</v>
      </c>
      <c r="B77" s="0" t="n">
        <f aca="false">_xlfn.BINOM.DIST(A77,$F$1,$F$2,0)</f>
        <v>1.97829637926975E-020</v>
      </c>
      <c r="C77" s="0" t="n">
        <f aca="false">STANDARDIZE(A77,$F$3,$F$5)</f>
        <v>9.81980506061966</v>
      </c>
      <c r="D77" s="0" t="n">
        <f aca="false">_xlfn.NORM.DIST(C77,0,1,0)</f>
        <v>4.58893420782224E-022</v>
      </c>
    </row>
    <row r="78" customFormat="false" ht="12.8" hidden="false" customHeight="false" outlineLevel="0" collapsed="false">
      <c r="A78" s="0" t="n">
        <v>76</v>
      </c>
      <c r="B78" s="0" t="n">
        <f aca="false">_xlfn.BINOM.DIST(A78,$F$1,$F$2,0)</f>
        <v>2.78895166250435E-021</v>
      </c>
      <c r="C78" s="0" t="n">
        <f aca="false">STANDARDIZE(A78,$F$3,$F$5)</f>
        <v>10.0380229508557</v>
      </c>
      <c r="D78" s="0" t="n">
        <f aca="false">_xlfn.NORM.DIST(C78,0,1,0)</f>
        <v>5.25702998006614E-023</v>
      </c>
    </row>
    <row r="79" customFormat="false" ht="12.8" hidden="false" customHeight="false" outlineLevel="0" collapsed="false">
      <c r="A79" s="0" t="n">
        <v>77</v>
      </c>
      <c r="B79" s="0" t="n">
        <f aca="false">_xlfn.BINOM.DIST(A79,$F$1,$F$2,0)</f>
        <v>3.72550129314125E-022</v>
      </c>
      <c r="C79" s="0" t="n">
        <f aca="false">STANDARDIZE(A79,$F$3,$F$5)</f>
        <v>10.2562408410916</v>
      </c>
      <c r="D79" s="0" t="n">
        <f aca="false">_xlfn.NORM.DIST(C79,0,1,0)</f>
        <v>5.74233317035558E-024</v>
      </c>
    </row>
    <row r="80" customFormat="false" ht="12.8" hidden="false" customHeight="false" outlineLevel="0" collapsed="false">
      <c r="A80" s="0" t="n">
        <v>78</v>
      </c>
      <c r="B80" s="0" t="n">
        <f aca="false">_xlfn.BINOM.DIST(A80,$F$1,$F$2,0)</f>
        <v>4.70805108473894E-023</v>
      </c>
      <c r="C80" s="0" t="n">
        <f aca="false">STANDARDIZE(A80,$F$3,$F$5)</f>
        <v>10.4744587313276</v>
      </c>
      <c r="D80" s="0" t="n">
        <f aca="false">_xlfn.NORM.DIST(C80,0,1,0)</f>
        <v>5.98074973891065E-025</v>
      </c>
    </row>
    <row r="81" customFormat="false" ht="12.8" hidden="false" customHeight="false" outlineLevel="0" collapsed="false">
      <c r="A81" s="0" t="n">
        <v>79</v>
      </c>
      <c r="B81" s="0" t="n">
        <f aca="false">_xlfn.BINOM.DIST(A81,$F$1,$F$2,0)</f>
        <v>5.61901214453472E-024</v>
      </c>
      <c r="C81" s="0" t="n">
        <f aca="false">STANDARDIZE(A81,$F$3,$F$5)</f>
        <v>10.6926766215636</v>
      </c>
      <c r="D81" s="0" t="n">
        <f aca="false">_xlfn.NORM.DIST(C81,0,1,0)</f>
        <v>5.93939465336734E-026</v>
      </c>
    </row>
    <row r="82" customFormat="false" ht="12.8" hidden="false" customHeight="false" outlineLevel="0" collapsed="false">
      <c r="A82" s="0" t="n">
        <v>80</v>
      </c>
      <c r="B82" s="0" t="n">
        <f aca="false">_xlfn.BINOM.DIST(A82,$F$1,$F$2,0)</f>
        <v>6.32138866260156E-025</v>
      </c>
      <c r="C82" s="0" t="n">
        <f aca="false">STANDARDIZE(A82,$F$3,$F$5)</f>
        <v>10.9108945117996</v>
      </c>
      <c r="D82" s="0" t="n">
        <f aca="false">_xlfn.NORM.DIST(C82,0,1,0)</f>
        <v>5.62403542746847E-027</v>
      </c>
    </row>
    <row r="83" customFormat="false" ht="12.8" hidden="false" customHeight="false" outlineLevel="0" collapsed="false">
      <c r="A83" s="0" t="n">
        <v>81</v>
      </c>
      <c r="B83" s="0" t="n">
        <f aca="false">_xlfn.BINOM.DIST(A83,$F$1,$F$2,0)</f>
        <v>6.68930017206515E-026</v>
      </c>
      <c r="C83" s="0" t="n">
        <f aca="false">STANDARDIZE(A83,$F$3,$F$5)</f>
        <v>11.1291124020356</v>
      </c>
      <c r="D83" s="0" t="n">
        <f aca="false">_xlfn.NORM.DIST(C83,0,1,0)</f>
        <v>5.07777230136309E-028</v>
      </c>
    </row>
    <row r="84" customFormat="false" ht="12.8" hidden="false" customHeight="false" outlineLevel="0" collapsed="false">
      <c r="A84" s="0" t="n">
        <v>82</v>
      </c>
      <c r="B84" s="0" t="n">
        <f aca="false">_xlfn.BINOM.DIST(A84,$F$1,$F$2,0)</f>
        <v>6.64268483985564E-027</v>
      </c>
      <c r="C84" s="0" t="n">
        <f aca="false">STANDARDIZE(A84,$F$3,$F$5)</f>
        <v>11.3473302922716</v>
      </c>
      <c r="D84" s="0" t="n">
        <f aca="false">_xlfn.NORM.DIST(C84,0,1,0)</f>
        <v>4.37137140561348E-029</v>
      </c>
    </row>
    <row r="85" customFormat="false" ht="12.8" hidden="false" customHeight="false" outlineLevel="0" collapsed="false">
      <c r="A85" s="0" t="n">
        <v>83</v>
      </c>
      <c r="B85" s="0" t="n">
        <f aca="false">_xlfn.BINOM.DIST(A85,$F$1,$F$2,0)</f>
        <v>6.17392394754225E-028</v>
      </c>
      <c r="C85" s="0" t="n">
        <f aca="false">STANDARDIZE(A85,$F$3,$F$5)</f>
        <v>11.5655481825076</v>
      </c>
      <c r="D85" s="0" t="n">
        <f aca="false">_xlfn.NORM.DIST(C85,0,1,0)</f>
        <v>3.58824015814333E-030</v>
      </c>
    </row>
    <row r="86" customFormat="false" ht="12.8" hidden="false" customHeight="false" outlineLevel="0" collapsed="false">
      <c r="A86" s="0" t="n">
        <v>84</v>
      </c>
      <c r="B86" s="0" t="n">
        <f aca="false">_xlfn.BINOM.DIST(A86,$F$1,$F$2,0)</f>
        <v>5.35493403613358E-029</v>
      </c>
      <c r="C86" s="0" t="n">
        <f aca="false">STANDARDIZE(A86,$F$3,$F$5)</f>
        <v>11.7837660727436</v>
      </c>
      <c r="D86" s="0" t="n">
        <f aca="false">_xlfn.NORM.DIST(C86,0,1,0)</f>
        <v>2.8084364950535E-031</v>
      </c>
    </row>
    <row r="87" customFormat="false" ht="12.8" hidden="false" customHeight="false" outlineLevel="0" collapsed="false">
      <c r="A87" s="0" t="n">
        <v>85</v>
      </c>
      <c r="B87" s="0" t="n">
        <f aca="false">_xlfn.BINOM.DIST(A87,$F$1,$F$2,0)</f>
        <v>4.3199467854523E-030</v>
      </c>
      <c r="C87" s="0" t="n">
        <f aca="false">STANDARDIZE(A87,$F$3,$F$5)</f>
        <v>12.0019839629796</v>
      </c>
      <c r="D87" s="0" t="n">
        <f aca="false">_xlfn.NORM.DIST(C87,0,1,0)</f>
        <v>2.09588294656583E-032</v>
      </c>
    </row>
    <row r="88" customFormat="false" ht="12.8" hidden="false" customHeight="false" outlineLevel="0" collapsed="false">
      <c r="A88" s="0" t="n">
        <v>86</v>
      </c>
      <c r="B88" s="0" t="n">
        <f aca="false">_xlfn.BINOM.DIST(A88,$F$1,$F$2,0)</f>
        <v>3.22919610208229E-031</v>
      </c>
      <c r="C88" s="0" t="n">
        <f aca="false">STANDARDIZE(A88,$F$3,$F$5)</f>
        <v>12.2202018532156</v>
      </c>
      <c r="D88" s="0" t="n">
        <f aca="false">_xlfn.NORM.DIST(C88,0,1,0)</f>
        <v>1.49138149602358E-033</v>
      </c>
    </row>
    <row r="89" customFormat="false" ht="12.8" hidden="false" customHeight="false" outlineLevel="0" collapsed="false">
      <c r="A89" s="0" t="n">
        <v>87</v>
      </c>
      <c r="B89" s="0" t="n">
        <f aca="false">_xlfn.BINOM.DIST(A89,$F$1,$F$2,0)</f>
        <v>2.22703179453951E-032</v>
      </c>
      <c r="C89" s="0" t="n">
        <f aca="false">STANDARDIZE(A89,$F$3,$F$5)</f>
        <v>12.4384197434516</v>
      </c>
      <c r="D89" s="0" t="n">
        <f aca="false">_xlfn.NORM.DIST(C89,0,1,0)</f>
        <v>1.01188180589438E-034</v>
      </c>
    </row>
    <row r="90" customFormat="false" ht="12.8" hidden="false" customHeight="false" outlineLevel="0" collapsed="false">
      <c r="A90" s="0" t="n">
        <v>88</v>
      </c>
      <c r="B90" s="0" t="n">
        <f aca="false">_xlfn.BINOM.DIST(A90,$F$1,$F$2,0)</f>
        <v>1.40997142836105E-033</v>
      </c>
      <c r="C90" s="0" t="n">
        <f aca="false">STANDARDIZE(A90,$F$3,$F$5)</f>
        <v>12.6566376336876</v>
      </c>
      <c r="D90" s="0" t="n">
        <f aca="false">_xlfn.NORM.DIST(C90,0,1,0)</f>
        <v>6.54621303167163E-036</v>
      </c>
    </row>
    <row r="91" customFormat="false" ht="12.8" hidden="false" customHeight="false" outlineLevel="0" collapsed="false">
      <c r="A91" s="0" t="n">
        <v>89</v>
      </c>
      <c r="B91" s="0" t="n">
        <f aca="false">_xlfn.BINOM.DIST(A91,$F$1,$F$2,0)</f>
        <v>8.14750745120352E-035</v>
      </c>
      <c r="C91" s="0" t="n">
        <f aca="false">STANDARDIZE(A91,$F$3,$F$5)</f>
        <v>12.8748555239236</v>
      </c>
      <c r="D91" s="0" t="n">
        <f aca="false">_xlfn.NORM.DIST(C91,0,1,0)</f>
        <v>4.03803233131316E-037</v>
      </c>
    </row>
    <row r="92" customFormat="false" ht="12.8" hidden="false" customHeight="false" outlineLevel="0" collapsed="false">
      <c r="A92" s="0" t="n">
        <v>90</v>
      </c>
      <c r="B92" s="0" t="n">
        <f aca="false">_xlfn.BINOM.DIST(A92,$F$1,$F$2,0)</f>
        <v>4.26774199824946E-036</v>
      </c>
      <c r="C92" s="0" t="n">
        <f aca="false">STANDARDIZE(A92,$F$3,$F$5)</f>
        <v>13.0930734141595</v>
      </c>
      <c r="D92" s="0" t="n">
        <f aca="false">_xlfn.NORM.DIST(C92,0,1,0)</f>
        <v>2.375028141059E-038</v>
      </c>
    </row>
    <row r="93" customFormat="false" ht="12.8" hidden="false" customHeight="false" outlineLevel="0" collapsed="false">
      <c r="A93" s="0" t="n">
        <v>91</v>
      </c>
      <c r="B93" s="0" t="n">
        <f aca="false">_xlfn.BINOM.DIST(A93,$F$1,$F$2,0)</f>
        <v>2.00992558787259E-037</v>
      </c>
      <c r="C93" s="0" t="n">
        <f aca="false">STANDARDIZE(A93,$F$3,$F$5)</f>
        <v>13.3112913043955</v>
      </c>
      <c r="D93" s="0" t="n">
        <f aca="false">_xlfn.NORM.DIST(C93,0,1,0)</f>
        <v>1.33194728875049E-039</v>
      </c>
    </row>
    <row r="94" customFormat="false" ht="12.8" hidden="false" customHeight="false" outlineLevel="0" collapsed="false">
      <c r="A94" s="0" t="n">
        <v>92</v>
      </c>
      <c r="B94" s="0" t="n">
        <f aca="false">_xlfn.BINOM.DIST(A94,$F$1,$F$2,0)</f>
        <v>8.4267066572298E-039</v>
      </c>
      <c r="C94" s="0" t="n">
        <f aca="false">STANDARDIZE(A94,$F$3,$F$5)</f>
        <v>13.5295091946315</v>
      </c>
      <c r="D94" s="0" t="n">
        <f aca="false">_xlfn.NORM.DIST(C94,0,1,0)</f>
        <v>7.12237157074318E-041</v>
      </c>
    </row>
    <row r="95" customFormat="false" ht="12.8" hidden="false" customHeight="false" outlineLevel="0" collapsed="false">
      <c r="A95" s="0" t="n">
        <v>93</v>
      </c>
      <c r="B95" s="0" t="n">
        <f aca="false">_xlfn.BINOM.DIST(A95,$F$1,$F$2,0)</f>
        <v>3.10661996579901E-040</v>
      </c>
      <c r="C95" s="0" t="n">
        <f aca="false">STANDARDIZE(A95,$F$3,$F$5)</f>
        <v>13.7477270848675</v>
      </c>
      <c r="D95" s="0" t="n">
        <f aca="false">_xlfn.NORM.DIST(C95,0,1,0)</f>
        <v>3.63146218350324E-042</v>
      </c>
    </row>
    <row r="96" customFormat="false" ht="12.8" hidden="false" customHeight="false" outlineLevel="0" collapsed="false">
      <c r="A96" s="0" t="n">
        <v>94</v>
      </c>
      <c r="B96" s="0" t="n">
        <f aca="false">_xlfn.BINOM.DIST(A96,$F$1,$F$2,0)</f>
        <v>9.91474457169896E-042</v>
      </c>
      <c r="C96" s="0" t="n">
        <f aca="false">STANDARDIZE(A96,$F$3,$F$5)</f>
        <v>13.9659449751035</v>
      </c>
      <c r="D96" s="0" t="n">
        <f aca="false">_xlfn.NORM.DIST(C96,0,1,0)</f>
        <v>1.76545940340062E-043</v>
      </c>
    </row>
    <row r="97" customFormat="false" ht="12.8" hidden="false" customHeight="false" outlineLevel="0" collapsed="false">
      <c r="A97" s="0" t="n">
        <v>95</v>
      </c>
      <c r="B97" s="0" t="n">
        <f aca="false">_xlfn.BINOM.DIST(A97,$F$1,$F$2,0)</f>
        <v>2.68369026000874E-043</v>
      </c>
      <c r="C97" s="0" t="n">
        <f aca="false">STANDARDIZE(A97,$F$3,$F$5)</f>
        <v>14.1841628653395</v>
      </c>
      <c r="D97" s="0" t="n">
        <f aca="false">_xlfn.NORM.DIST(C97,0,1,0)</f>
        <v>8.18376698552265E-045</v>
      </c>
    </row>
    <row r="98" customFormat="false" ht="12.8" hidden="false" customHeight="false" outlineLevel="0" collapsed="false">
      <c r="A98" s="0" t="n">
        <v>96</v>
      </c>
      <c r="B98" s="0" t="n">
        <f aca="false">_xlfn.BINOM.DIST(A98,$F$1,$F$2,0)</f>
        <v>5.99038004466237E-045</v>
      </c>
      <c r="C98" s="0" t="n">
        <f aca="false">STANDARDIZE(A98,$F$3,$F$5)</f>
        <v>14.4023807555755</v>
      </c>
      <c r="D98" s="0" t="n">
        <f aca="false">_xlfn.NORM.DIST(C98,0,1,0)</f>
        <v>3.61716304814506E-046</v>
      </c>
    </row>
    <row r="99" customFormat="false" ht="12.8" hidden="false" customHeight="false" outlineLevel="0" collapsed="false">
      <c r="A99" s="0" t="n">
        <v>97</v>
      </c>
      <c r="B99" s="0" t="n">
        <f aca="false">_xlfn.BINOM.DIST(A99,$F$1,$F$2,0)</f>
        <v>1.05868277667082E-046</v>
      </c>
      <c r="C99" s="0" t="n">
        <f aca="false">STANDARDIZE(A99,$F$3,$F$5)</f>
        <v>14.6205986458115</v>
      </c>
      <c r="D99" s="0" t="n">
        <f aca="false">_xlfn.NORM.DIST(C99,0,1,0)</f>
        <v>1.52441153448562E-047</v>
      </c>
    </row>
    <row r="100" customFormat="false" ht="12.8" hidden="false" customHeight="false" outlineLevel="0" collapsed="false">
      <c r="A100" s="0" t="n">
        <v>98</v>
      </c>
      <c r="B100" s="0" t="n">
        <f aca="false">_xlfn.BINOM.DIST(A100,$F$1,$F$2,0)</f>
        <v>1.38894241837279E-048</v>
      </c>
      <c r="C100" s="0" t="n">
        <f aca="false">STANDARDIZE(A100,$F$3,$F$5)</f>
        <v>14.8388165360475</v>
      </c>
      <c r="D100" s="0" t="n">
        <f aca="false">_xlfn.NORM.DIST(C100,0,1,0)</f>
        <v>6.12569934240913E-049</v>
      </c>
    </row>
    <row r="101" customFormat="false" ht="12.8" hidden="false" customHeight="false" outlineLevel="0" collapsed="false">
      <c r="A101" s="0" t="n">
        <v>99</v>
      </c>
      <c r="B101" s="0" t="n">
        <f aca="false">_xlfn.BINOM.DIST(A101,$F$1,$F$2,0)</f>
        <v>1.20254754837471E-050</v>
      </c>
      <c r="C101" s="0" t="n">
        <f aca="false">STANDARDIZE(A101,$F$3,$F$5)</f>
        <v>15.0570344262835</v>
      </c>
      <c r="D101" s="0" t="n">
        <f aca="false">_xlfn.NORM.DIST(C101,0,1,0)</f>
        <v>2.34708295028018E-050</v>
      </c>
    </row>
    <row r="102" customFormat="false" ht="12.8" hidden="false" customHeight="false" outlineLevel="0" collapsed="false">
      <c r="A102" s="0" t="n">
        <v>100</v>
      </c>
      <c r="B102" s="0" t="n">
        <f aca="false">_xlfn.BINOM.DIST(A102,$F$1,$F$2,0)</f>
        <v>5.1537752073202E-053</v>
      </c>
      <c r="C102" s="0" t="n">
        <f aca="false">STANDARDIZE(A102,$F$3,$F$5)</f>
        <v>15.2752523165195</v>
      </c>
      <c r="D102" s="0" t="n">
        <f aca="false">_xlfn.NORM.DIST(C102,0,1,0)</f>
        <v>8.57473111594302E-052</v>
      </c>
    </row>
    <row r="103" customFormat="false" ht="12.8" hidden="false" customHeight="false" outlineLevel="0" collapsed="false">
      <c r="B103" s="0" t="n">
        <f aca="false">SUM(B2:B102)</f>
        <v>1</v>
      </c>
      <c r="E103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2021-05-27T17:50:45Z</dcterms:created>
  <dc:creator/>
  <dc:description/>
  <dc:language>en-US</dc:language>
  <cp:lastModifiedBy/>
  <dcterms:modified xsi:type="dcterms:W3CDTF">2021-05-27T19:05:02Z</dcterms:modified>
  <cp:revision>2</cp:revision>
  <dc:subject/>
  <dc:title/>
</cp:coreProperties>
</file>