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<sst xmlns="http://schemas.openxmlformats.org/spreadsheetml/2006/main" count="64" uniqueCount="35">
  <si>
    <t xml:space="preserve">Smoker (S)</t>
  </si>
  <si>
    <t xml:space="preserve">Nonsmoker (NS)</t>
  </si>
  <si>
    <t xml:space="preserve">Total</t>
  </si>
  <si>
    <t xml:space="preserve">Dead</t>
  </si>
  <si>
    <t xml:space="preserve">Alive</t>
  </si>
  <si>
    <t xml:space="preserve">Divide by column totals.</t>
  </si>
  <si>
    <t xml:space="preserve">Age Group</t>
  </si>
  <si>
    <t xml:space="preserve"> 18 to 24</t>
  </si>
  <si>
    <t xml:space="preserve"> 25 to 34</t>
  </si>
  <si>
    <t xml:space="preserve"> 35 to 44</t>
  </si>
  <si>
    <t xml:space="preserve"> 45 to 54</t>
  </si>
  <si>
    <t xml:space="preserve"> 55 to 64</t>
  </si>
  <si>
    <t xml:space="preserve"> 65 to 74</t>
  </si>
  <si>
    <t xml:space="preserve"> 75 or older </t>
  </si>
  <si>
    <t xml:space="preserve">S</t>
  </si>
  <si>
    <t xml:space="preserve"> NS</t>
  </si>
  <si>
    <t xml:space="preserve"> S</t>
  </si>
  <si>
    <t xml:space="preserve"> S </t>
  </si>
  <si>
    <t xml:space="preserve">NS</t>
  </si>
  <si>
    <t xml:space="preserve"> NS </t>
  </si>
  <si>
    <t xml:space="preserve">Dead </t>
  </si>
  <si>
    <t xml:space="preserve">S  18 to 24</t>
  </si>
  <si>
    <t xml:space="preserve">NS  18 to 24</t>
  </si>
  <si>
    <t xml:space="preserve">S  25 to 34</t>
  </si>
  <si>
    <t xml:space="preserve">NS  25 to 34</t>
  </si>
  <si>
    <t xml:space="preserve">S  35 to 44</t>
  </si>
  <si>
    <t xml:space="preserve">NS  35 to 44</t>
  </si>
  <si>
    <t xml:space="preserve">S  45 to 54 </t>
  </si>
  <si>
    <t xml:space="preserve">NS  45 to 54</t>
  </si>
  <si>
    <t xml:space="preserve">S  55 to 64</t>
  </si>
  <si>
    <t xml:space="preserve">NS  55 to 64</t>
  </si>
  <si>
    <t xml:space="preserve">S  65 to 74</t>
  </si>
  <si>
    <t xml:space="preserve">NS  65 to 74</t>
  </si>
  <si>
    <t xml:space="preserve">S  75 or older </t>
  </si>
  <si>
    <t xml:space="preserve">NS  75 or older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</si>
</sst>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Frequency of dead or alive given smoker or nonsmoker status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Sheet1!$B$8</c:f>
              <c:strCache>
                <c:ptCount val="1"/>
                <c:pt idx="0">
                  <c:v>Smoker (S)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Sheet1!$A$9:$A$10</c:f>
              <c:strCache>
                <c:ptCount val="2"/>
                <c:pt idx="0">
                  <c:v>Dead</c:v>
                </c:pt>
                <c:pt idx="1">
                  <c:v>Alive</c:v>
                </c:pt>
              </c:strCache>
            </c:strRef>
          </c:cat>
          <c:val>
            <c:numRef>
              <c:f>Sheet1!$B$9:$B$10</c:f>
              <c:numCache>
                <c:formatCode>General</c:formatCode>
                <c:ptCount val="2"/>
                <c:pt idx="0">
                  <c:v>0.238831615120275</c:v>
                </c:pt>
                <c:pt idx="1">
                  <c:v>0.761168384879725</c:v>
                </c:pt>
              </c:numCache>
            </c:numRef>
          </c:val>
        </c:ser>
        <c:ser>
          <c:idx val="1"/>
          <c:order val="1"/>
          <c:tx>
            <c:strRef>
              <c:f>Sheet1!$C$8</c:f>
              <c:strCache>
                <c:ptCount val="1"/>
                <c:pt idx="0">
                  <c:v>Nonsmoker (NS)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Sheet1!$A$9:$A$10</c:f>
              <c:strCache>
                <c:ptCount val="2"/>
                <c:pt idx="0">
                  <c:v>Dead</c:v>
                </c:pt>
                <c:pt idx="1">
                  <c:v>Alive</c:v>
                </c:pt>
              </c:strCache>
            </c:strRef>
          </c:cat>
          <c:val>
            <c:numRef>
              <c:f>Sheet1!$C$9:$C$10</c:f>
              <c:numCache>
                <c:formatCode>General</c:formatCode>
                <c:ptCount val="2"/>
                <c:pt idx="0">
                  <c:v>0.314207650273224</c:v>
                </c:pt>
                <c:pt idx="1">
                  <c:v>0.685792349726776</c:v>
                </c:pt>
              </c:numCache>
            </c:numRef>
          </c:val>
        </c:ser>
        <c:gapWidth val="100"/>
        <c:overlap val="0"/>
        <c:axId val="97534607"/>
        <c:axId val="36754986"/>
      </c:barChart>
      <c:catAx>
        <c:axId val="97534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6754986"/>
        <c:crosses val="autoZero"/>
        <c:auto val="1"/>
        <c:lblAlgn val="ctr"/>
        <c:lblOffset val="100"/>
      </c:catAx>
      <c:valAx>
        <c:axId val="3675498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Frequency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97534607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Frequency of dead or alive given smoking status and age group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Sheet1!$A$34</c:f>
              <c:strCache>
                <c:ptCount val="1"/>
                <c:pt idx="0">
                  <c:v>Dead 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Sheet1!$B$33:$O$33</c:f>
              <c:strCache>
                <c:ptCount val="14"/>
                <c:pt idx="0">
                  <c:v>S  18 to 24</c:v>
                </c:pt>
                <c:pt idx="1">
                  <c:v>NS  18 to 24</c:v>
                </c:pt>
                <c:pt idx="2">
                  <c:v>S  25 to 34</c:v>
                </c:pt>
                <c:pt idx="3">
                  <c:v>NS  25 to 34</c:v>
                </c:pt>
                <c:pt idx="4">
                  <c:v>S  35 to 44</c:v>
                </c:pt>
                <c:pt idx="5">
                  <c:v>NS  35 to 44</c:v>
                </c:pt>
                <c:pt idx="6">
                  <c:v>S  45 to 54 </c:v>
                </c:pt>
                <c:pt idx="7">
                  <c:v>NS  45 to 54</c:v>
                </c:pt>
                <c:pt idx="8">
                  <c:v>S  55 to 64</c:v>
                </c:pt>
                <c:pt idx="9">
                  <c:v>NS  55 to 64</c:v>
                </c:pt>
                <c:pt idx="10">
                  <c:v>S  65 to 74</c:v>
                </c:pt>
                <c:pt idx="11">
                  <c:v>NS  65 to 74</c:v>
                </c:pt>
                <c:pt idx="12">
                  <c:v>S  75 or older </c:v>
                </c:pt>
                <c:pt idx="13">
                  <c:v>NS  75 or older </c:v>
                </c:pt>
              </c:strCache>
            </c:strRef>
          </c:cat>
          <c:val>
            <c:numRef>
              <c:f>Sheet1!$B$34:$O$34</c:f>
              <c:numCache>
                <c:formatCode>General</c:formatCode>
                <c:ptCount val="14"/>
                <c:pt idx="0">
                  <c:v>0.0363636363636364</c:v>
                </c:pt>
                <c:pt idx="1">
                  <c:v>0.0161290322580645</c:v>
                </c:pt>
                <c:pt idx="2">
                  <c:v>0.0241935483870968</c:v>
                </c:pt>
                <c:pt idx="3">
                  <c:v>0.0318471337579618</c:v>
                </c:pt>
                <c:pt idx="4">
                  <c:v>0.128440366972477</c:v>
                </c:pt>
                <c:pt idx="5">
                  <c:v>0.0578512396694215</c:v>
                </c:pt>
                <c:pt idx="6">
                  <c:v>0.207692307692308</c:v>
                </c:pt>
                <c:pt idx="7">
                  <c:v>0.153846153846154</c:v>
                </c:pt>
                <c:pt idx="8">
                  <c:v>0.443478260869565</c:v>
                </c:pt>
                <c:pt idx="9">
                  <c:v>0.330578512396694</c:v>
                </c:pt>
                <c:pt idx="10">
                  <c:v>0.805555555555556</c:v>
                </c:pt>
                <c:pt idx="11">
                  <c:v>0.782945736434108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</c:ser>
        <c:ser>
          <c:idx val="1"/>
          <c:order val="1"/>
          <c:tx>
            <c:strRef>
              <c:f>Sheet1!$A$35</c:f>
              <c:strCache>
                <c:ptCount val="1"/>
                <c:pt idx="0">
                  <c:v>Alive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Sheet1!$B$33:$O$33</c:f>
              <c:strCache>
                <c:ptCount val="14"/>
                <c:pt idx="0">
                  <c:v>S  18 to 24</c:v>
                </c:pt>
                <c:pt idx="1">
                  <c:v>NS  18 to 24</c:v>
                </c:pt>
                <c:pt idx="2">
                  <c:v>S  25 to 34</c:v>
                </c:pt>
                <c:pt idx="3">
                  <c:v>NS  25 to 34</c:v>
                </c:pt>
                <c:pt idx="4">
                  <c:v>S  35 to 44</c:v>
                </c:pt>
                <c:pt idx="5">
                  <c:v>NS  35 to 44</c:v>
                </c:pt>
                <c:pt idx="6">
                  <c:v>S  45 to 54 </c:v>
                </c:pt>
                <c:pt idx="7">
                  <c:v>NS  45 to 54</c:v>
                </c:pt>
                <c:pt idx="8">
                  <c:v>S  55 to 64</c:v>
                </c:pt>
                <c:pt idx="9">
                  <c:v>NS  55 to 64</c:v>
                </c:pt>
                <c:pt idx="10">
                  <c:v>S  65 to 74</c:v>
                </c:pt>
                <c:pt idx="11">
                  <c:v>NS  65 to 74</c:v>
                </c:pt>
                <c:pt idx="12">
                  <c:v>S  75 or older </c:v>
                </c:pt>
                <c:pt idx="13">
                  <c:v>NS  75 or older </c:v>
                </c:pt>
              </c:strCache>
            </c:strRef>
          </c:cat>
          <c:val>
            <c:numRef>
              <c:f>Sheet1!$B$35:$O$35</c:f>
              <c:numCache>
                <c:formatCode>General</c:formatCode>
                <c:ptCount val="14"/>
                <c:pt idx="0">
                  <c:v>0.963636363636364</c:v>
                </c:pt>
                <c:pt idx="1">
                  <c:v>0.983870967741935</c:v>
                </c:pt>
                <c:pt idx="2">
                  <c:v>0.975806451612903</c:v>
                </c:pt>
                <c:pt idx="3">
                  <c:v>0.968152866242038</c:v>
                </c:pt>
                <c:pt idx="4">
                  <c:v>0.871559633027523</c:v>
                </c:pt>
                <c:pt idx="5">
                  <c:v>0.942148760330579</c:v>
                </c:pt>
                <c:pt idx="6">
                  <c:v>0.792307692307692</c:v>
                </c:pt>
                <c:pt idx="7">
                  <c:v>0.846153846153846</c:v>
                </c:pt>
                <c:pt idx="8">
                  <c:v>0.556521739130435</c:v>
                </c:pt>
                <c:pt idx="9">
                  <c:v>0.669421487603306</c:v>
                </c:pt>
                <c:pt idx="10">
                  <c:v>0.194444444444444</c:v>
                </c:pt>
                <c:pt idx="11">
                  <c:v>0.217054263565891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gapWidth val="100"/>
        <c:overlap val="0"/>
        <c:axId val="56468486"/>
        <c:axId val="91339544"/>
      </c:barChart>
      <c:catAx>
        <c:axId val="5646848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91339544"/>
        <c:crosses val="autoZero"/>
        <c:auto val="1"/>
        <c:lblAlgn val="ctr"/>
        <c:lblOffset val="100"/>
      </c:catAx>
      <c:valAx>
        <c:axId val="91339544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Frequency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56468486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696240</xdr:colOff>
      <xdr:row>0</xdr:row>
      <xdr:rowOff>0</xdr:rowOff>
    </xdr:from>
    <xdr:to>
      <xdr:col>11</xdr:col>
      <xdr:colOff>374760</xdr:colOff>
      <xdr:row>19</xdr:row>
      <xdr:rowOff>150840</xdr:rowOff>
    </xdr:to>
    <xdr:graphicFrame>
      <xdr:nvGraphicFramePr>
        <xdr:cNvPr id="0" name=""/>
        <xdr:cNvGraphicFramePr/>
      </xdr:nvGraphicFramePr>
      <xdr:xfrm>
        <a:off x="3913560" y="0"/>
        <a:ext cx="582912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2880</xdr:colOff>
      <xdr:row>37</xdr:row>
      <xdr:rowOff>14760</xdr:rowOff>
    </xdr:from>
    <xdr:to>
      <xdr:col>6</xdr:col>
      <xdr:colOff>363600</xdr:colOff>
      <xdr:row>57</xdr:row>
      <xdr:rowOff>2880</xdr:rowOff>
    </xdr:to>
    <xdr:graphicFrame>
      <xdr:nvGraphicFramePr>
        <xdr:cNvPr id="1" name=""/>
        <xdr:cNvGraphicFramePr/>
      </xdr:nvGraphicFramePr>
      <xdr:xfrm>
        <a:off x="2880" y="6029280"/>
        <a:ext cx="582732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72" zoomScaleNormal="72" zoomScalePageLayoutView="100" workbookViewId="0">
      <selection pane="topLeft" activeCell="H44" activeCellId="0" sqref="H44"/>
    </sheetView>
  </sheetViews>
  <sheetFormatPr defaultRowHeight="12.8"/>
  <cols>
    <col collapsed="false" hidden="false" max="1" min="1" style="0" width="20.0969387755102"/>
    <col collapsed="false" hidden="false" max="2" min="2" style="0" width="10.5408163265306"/>
    <col collapsed="false" hidden="false" max="3" min="3" style="0" width="14.9642857142857"/>
    <col collapsed="false" hidden="false" max="4" min="4" style="0" width="10.1887755102041"/>
    <col collapsed="false" hidden="false" max="5" min="5" style="0" width="11.5"/>
    <col collapsed="false" hidden="false" max="6" min="6" style="0" width="10.1887755102041"/>
    <col collapsed="false" hidden="false" max="7" min="7" style="0" width="11.5"/>
    <col collapsed="false" hidden="false" max="8" min="8" style="0" width="10.6020408163265"/>
    <col collapsed="false" hidden="false" max="9" min="9" style="0" width="11.5"/>
    <col collapsed="false" hidden="false" max="10" min="10" style="0" width="10.1887755102041"/>
    <col collapsed="false" hidden="false" max="11" min="11" style="0" width="11.5"/>
    <col collapsed="false" hidden="false" max="12" min="12" style="0" width="10.1887755102041"/>
    <col collapsed="false" hidden="false" max="13" min="13" style="0" width="11.5"/>
    <col collapsed="false" hidden="false" max="14" min="14" style="0" width="12.75"/>
    <col collapsed="false" hidden="false" max="15" min="15" style="0" width="14.0663265306122"/>
    <col collapsed="false" hidden="false" max="1025" min="16" style="0" width="11.6428571428571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</row>
    <row r="2" customFormat="false" ht="12.8" hidden="false" customHeight="false" outlineLevel="0" collapsed="false">
      <c r="A2" s="0" t="s">
        <v>3</v>
      </c>
      <c r="B2" s="0" t="n">
        <v>139</v>
      </c>
      <c r="C2" s="0" t="n">
        <v>230</v>
      </c>
      <c r="D2" s="0" t="n">
        <v>369</v>
      </c>
    </row>
    <row r="3" customFormat="false" ht="12.8" hidden="false" customHeight="false" outlineLevel="0" collapsed="false">
      <c r="A3" s="0" t="s">
        <v>4</v>
      </c>
      <c r="B3" s="0" t="n">
        <v>443</v>
      </c>
      <c r="C3" s="0" t="n">
        <v>502</v>
      </c>
      <c r="D3" s="0" t="n">
        <v>945</v>
      </c>
    </row>
    <row r="4" customFormat="false" ht="12.8" hidden="false" customHeight="false" outlineLevel="0" collapsed="false">
      <c r="A4" s="0" t="s">
        <v>2</v>
      </c>
      <c r="B4" s="0" t="n">
        <v>582</v>
      </c>
      <c r="C4" s="0" t="n">
        <v>732</v>
      </c>
      <c r="D4" s="0" t="n">
        <v>1314</v>
      </c>
    </row>
    <row r="6" customFormat="false" ht="12.8" hidden="false" customHeight="false" outlineLevel="0" collapsed="false">
      <c r="A6" s="0" t="s">
        <v>5</v>
      </c>
    </row>
    <row r="8" customFormat="false" ht="12.8" hidden="false" customHeight="false" outlineLevel="0" collapsed="false">
      <c r="B8" s="0" t="s">
        <v>0</v>
      </c>
      <c r="C8" s="0" t="s">
        <v>1</v>
      </c>
      <c r="D8" s="0" t="s">
        <v>2</v>
      </c>
    </row>
    <row r="9" customFormat="false" ht="12.8" hidden="false" customHeight="false" outlineLevel="0" collapsed="false">
      <c r="A9" s="0" t="s">
        <v>3</v>
      </c>
      <c r="B9" s="1" t="n">
        <f aca="false">B2/B$4</f>
        <v>0.238831615120275</v>
      </c>
      <c r="C9" s="1" t="n">
        <f aca="false">C2/C$4</f>
        <v>0.314207650273224</v>
      </c>
      <c r="D9" s="1" t="n">
        <f aca="false">D2/D$4</f>
        <v>0.280821917808219</v>
      </c>
    </row>
    <row r="10" customFormat="false" ht="12.8" hidden="false" customHeight="false" outlineLevel="0" collapsed="false">
      <c r="A10" s="0" t="s">
        <v>4</v>
      </c>
      <c r="B10" s="1" t="n">
        <f aca="false">B3/B$4</f>
        <v>0.761168384879725</v>
      </c>
      <c r="C10" s="1" t="n">
        <f aca="false">C3/C$4</f>
        <v>0.685792349726776</v>
      </c>
      <c r="D10" s="1" t="n">
        <f aca="false">D3/D$4</f>
        <v>0.719178082191781</v>
      </c>
    </row>
    <row r="11" customFormat="false" ht="12.8" hidden="false" customHeight="false" outlineLevel="0" collapsed="false">
      <c r="A11" s="0" t="s">
        <v>2</v>
      </c>
      <c r="B11" s="0" t="n">
        <f aca="false">B4/B$4</f>
        <v>1</v>
      </c>
      <c r="C11" s="0" t="n">
        <f aca="false">C4/C$4</f>
        <v>1</v>
      </c>
      <c r="D11" s="0" t="n">
        <f aca="false">D4/D$4</f>
        <v>1</v>
      </c>
    </row>
    <row r="24" customFormat="false" ht="12.8" hidden="false" customHeight="false" outlineLevel="0" collapsed="false">
      <c r="A24" s="2" t="s">
        <v>6</v>
      </c>
      <c r="B24" s="3" t="s">
        <v>7</v>
      </c>
      <c r="C24" s="3"/>
      <c r="D24" s="3" t="s">
        <v>8</v>
      </c>
      <c r="E24" s="3"/>
      <c r="F24" s="3" t="s">
        <v>9</v>
      </c>
      <c r="G24" s="3"/>
      <c r="H24" s="3" t="s">
        <v>10</v>
      </c>
      <c r="I24" s="3"/>
      <c r="J24" s="3" t="s">
        <v>11</v>
      </c>
      <c r="K24" s="3"/>
      <c r="L24" s="3" t="s">
        <v>12</v>
      </c>
      <c r="M24" s="3"/>
      <c r="N24" s="3" t="s">
        <v>13</v>
      </c>
      <c r="O24" s="3"/>
    </row>
    <row r="25" customFormat="false" ht="12.8" hidden="false" customHeight="false" outlineLevel="0" collapsed="false">
      <c r="B25" s="4" t="s">
        <v>14</v>
      </c>
      <c r="C25" s="4" t="s">
        <v>15</v>
      </c>
      <c r="D25" s="4" t="s">
        <v>16</v>
      </c>
      <c r="E25" s="4" t="s">
        <v>15</v>
      </c>
      <c r="F25" s="4" t="s">
        <v>16</v>
      </c>
      <c r="G25" s="4" t="s">
        <v>15</v>
      </c>
      <c r="H25" s="4" t="s">
        <v>17</v>
      </c>
      <c r="I25" s="4" t="s">
        <v>18</v>
      </c>
      <c r="J25" s="4" t="s">
        <v>17</v>
      </c>
      <c r="K25" s="4" t="s">
        <v>18</v>
      </c>
      <c r="L25" s="4" t="s">
        <v>17</v>
      </c>
      <c r="M25" s="4" t="s">
        <v>18</v>
      </c>
      <c r="N25" s="4" t="s">
        <v>16</v>
      </c>
      <c r="O25" s="4" t="s">
        <v>19</v>
      </c>
    </row>
    <row r="26" customFormat="false" ht="12.8" hidden="false" customHeight="false" outlineLevel="0" collapsed="false">
      <c r="A26" s="2" t="s">
        <v>20</v>
      </c>
      <c r="B26" s="0" t="n">
        <v>2</v>
      </c>
      <c r="C26" s="0" t="n">
        <v>1</v>
      </c>
      <c r="D26" s="0" t="n">
        <v>3</v>
      </c>
      <c r="E26" s="0" t="n">
        <v>5</v>
      </c>
      <c r="F26" s="0" t="n">
        <v>14</v>
      </c>
      <c r="G26" s="0" t="n">
        <v>7</v>
      </c>
      <c r="H26" s="0" t="n">
        <v>27</v>
      </c>
      <c r="I26" s="0" t="n">
        <v>12</v>
      </c>
      <c r="J26" s="0" t="n">
        <v>51</v>
      </c>
      <c r="K26" s="0" t="n">
        <v>40</v>
      </c>
      <c r="L26" s="0" t="n">
        <v>29</v>
      </c>
      <c r="M26" s="0" t="n">
        <v>101</v>
      </c>
      <c r="N26" s="0" t="n">
        <v>13</v>
      </c>
      <c r="O26" s="0" t="n">
        <v>64</v>
      </c>
    </row>
    <row r="27" customFormat="false" ht="12.8" hidden="false" customHeight="false" outlineLevel="0" collapsed="false">
      <c r="A27" s="2" t="s">
        <v>4</v>
      </c>
      <c r="B27" s="0" t="n">
        <v>53</v>
      </c>
      <c r="C27" s="0" t="n">
        <v>61</v>
      </c>
      <c r="D27" s="0" t="n">
        <v>121</v>
      </c>
      <c r="E27" s="0" t="n">
        <v>152</v>
      </c>
      <c r="F27" s="0" t="n">
        <v>95</v>
      </c>
      <c r="G27" s="0" t="n">
        <v>114</v>
      </c>
      <c r="H27" s="0" t="n">
        <v>103</v>
      </c>
      <c r="I27" s="0" t="n">
        <v>66</v>
      </c>
      <c r="J27" s="0" t="n">
        <v>64</v>
      </c>
      <c r="K27" s="0" t="n">
        <v>81</v>
      </c>
      <c r="L27" s="0" t="n">
        <v>7</v>
      </c>
      <c r="M27" s="0" t="n">
        <v>28</v>
      </c>
      <c r="N27" s="0" t="n">
        <v>0</v>
      </c>
      <c r="O27" s="0" t="n">
        <v>0</v>
      </c>
    </row>
    <row r="28" customFormat="false" ht="12.8" hidden="false" customHeight="false" outlineLevel="0" collapsed="false">
      <c r="A28" s="0" t="s">
        <v>2</v>
      </c>
      <c r="B28" s="0" t="n">
        <f aca="false">SUM(B26:B27)</f>
        <v>55</v>
      </c>
      <c r="C28" s="0" t="n">
        <f aca="false">SUM(C26:C27)</f>
        <v>62</v>
      </c>
      <c r="D28" s="0" t="n">
        <f aca="false">SUM(D26:D27)</f>
        <v>124</v>
      </c>
      <c r="E28" s="0" t="n">
        <f aca="false">SUM(E26:E27)</f>
        <v>157</v>
      </c>
      <c r="F28" s="0" t="n">
        <f aca="false">SUM(F26:F27)</f>
        <v>109</v>
      </c>
      <c r="G28" s="0" t="n">
        <f aca="false">SUM(G26:G27)</f>
        <v>121</v>
      </c>
      <c r="H28" s="0" t="n">
        <f aca="false">SUM(H26:H27)</f>
        <v>130</v>
      </c>
      <c r="I28" s="0" t="n">
        <f aca="false">SUM(I26:I27)</f>
        <v>78</v>
      </c>
      <c r="J28" s="0" t="n">
        <f aca="false">SUM(J26:J27)</f>
        <v>115</v>
      </c>
      <c r="K28" s="0" t="n">
        <f aca="false">SUM(K26:K27)</f>
        <v>121</v>
      </c>
      <c r="L28" s="0" t="n">
        <f aca="false">SUM(L26:L27)</f>
        <v>36</v>
      </c>
      <c r="M28" s="0" t="n">
        <f aca="false">SUM(M26:M27)</f>
        <v>129</v>
      </c>
      <c r="N28" s="0" t="n">
        <f aca="false">SUM(N26:N27)</f>
        <v>13</v>
      </c>
      <c r="O28" s="0" t="n">
        <f aca="false">SUM(O26:O27)</f>
        <v>64</v>
      </c>
    </row>
    <row r="30" customFormat="false" ht="12.8" hidden="false" customHeight="false" outlineLevel="0" collapsed="false">
      <c r="A30" s="0" t="s">
        <v>5</v>
      </c>
    </row>
    <row r="32" customFormat="false" ht="12.8" hidden="false" customHeight="false" outlineLevel="0" collapsed="false">
      <c r="A32" s="2" t="s">
        <v>6</v>
      </c>
      <c r="B32" s="3" t="s">
        <v>7</v>
      </c>
      <c r="C32" s="3"/>
      <c r="D32" s="3" t="s">
        <v>8</v>
      </c>
      <c r="E32" s="3"/>
      <c r="F32" s="3" t="s">
        <v>9</v>
      </c>
      <c r="G32" s="3"/>
      <c r="H32" s="3" t="s">
        <v>10</v>
      </c>
      <c r="I32" s="3"/>
      <c r="J32" s="3" t="s">
        <v>11</v>
      </c>
      <c r="K32" s="3"/>
      <c r="L32" s="3" t="s">
        <v>12</v>
      </c>
      <c r="M32" s="3"/>
      <c r="N32" s="3" t="s">
        <v>13</v>
      </c>
      <c r="O32" s="3"/>
    </row>
    <row r="33" customFormat="false" ht="12.8" hidden="false" customHeight="false" outlineLevel="0" collapsed="false">
      <c r="B33" s="4" t="s">
        <v>21</v>
      </c>
      <c r="C33" s="4" t="s">
        <v>22</v>
      </c>
      <c r="D33" s="4" t="s">
        <v>23</v>
      </c>
      <c r="E33" s="4" t="s">
        <v>24</v>
      </c>
      <c r="F33" s="4" t="s">
        <v>25</v>
      </c>
      <c r="G33" s="4" t="s">
        <v>26</v>
      </c>
      <c r="H33" s="4" t="s">
        <v>27</v>
      </c>
      <c r="I33" s="4" t="s">
        <v>28</v>
      </c>
      <c r="J33" s="4" t="s">
        <v>29</v>
      </c>
      <c r="K33" s="4" t="s">
        <v>30</v>
      </c>
      <c r="L33" s="4" t="s">
        <v>31</v>
      </c>
      <c r="M33" s="4" t="s">
        <v>32</v>
      </c>
      <c r="N33" s="4" t="s">
        <v>33</v>
      </c>
      <c r="O33" s="4" t="s">
        <v>34</v>
      </c>
    </row>
    <row r="34" customFormat="false" ht="12.8" hidden="false" customHeight="false" outlineLevel="0" collapsed="false">
      <c r="A34" s="2" t="s">
        <v>20</v>
      </c>
      <c r="B34" s="1" t="n">
        <f aca="false">B26/B$28</f>
        <v>0.0363636363636364</v>
      </c>
      <c r="C34" s="1" t="n">
        <f aca="false">C26/C$28</f>
        <v>0.0161290322580645</v>
      </c>
      <c r="D34" s="1" t="n">
        <f aca="false">D26/D$28</f>
        <v>0.0241935483870968</v>
      </c>
      <c r="E34" s="1" t="n">
        <f aca="false">E26/E$28</f>
        <v>0.0318471337579618</v>
      </c>
      <c r="F34" s="1" t="n">
        <f aca="false">F26/F$28</f>
        <v>0.128440366972477</v>
      </c>
      <c r="G34" s="1" t="n">
        <f aca="false">G26/G$28</f>
        <v>0.0578512396694215</v>
      </c>
      <c r="H34" s="1" t="n">
        <f aca="false">H26/H$28</f>
        <v>0.207692307692308</v>
      </c>
      <c r="I34" s="1" t="n">
        <f aca="false">I26/I$28</f>
        <v>0.153846153846154</v>
      </c>
      <c r="J34" s="1" t="n">
        <f aca="false">J26/J$28</f>
        <v>0.443478260869565</v>
      </c>
      <c r="K34" s="1" t="n">
        <f aca="false">K26/K$28</f>
        <v>0.330578512396694</v>
      </c>
      <c r="L34" s="1" t="n">
        <f aca="false">L26/L$28</f>
        <v>0.805555555555556</v>
      </c>
      <c r="M34" s="1" t="n">
        <f aca="false">M26/M$28</f>
        <v>0.782945736434108</v>
      </c>
      <c r="N34" s="1" t="n">
        <f aca="false">N26/N$28</f>
        <v>1</v>
      </c>
      <c r="O34" s="1" t="n">
        <f aca="false">O26/O$28</f>
        <v>1</v>
      </c>
    </row>
    <row r="35" customFormat="false" ht="12.8" hidden="false" customHeight="false" outlineLevel="0" collapsed="false">
      <c r="A35" s="2" t="s">
        <v>4</v>
      </c>
      <c r="B35" s="1" t="n">
        <f aca="false">B27/B$28</f>
        <v>0.963636363636364</v>
      </c>
      <c r="C35" s="1" t="n">
        <f aca="false">C27/C$28</f>
        <v>0.983870967741935</v>
      </c>
      <c r="D35" s="1" t="n">
        <f aca="false">D27/D$28</f>
        <v>0.975806451612903</v>
      </c>
      <c r="E35" s="1" t="n">
        <f aca="false">E27/E$28</f>
        <v>0.968152866242038</v>
      </c>
      <c r="F35" s="1" t="n">
        <f aca="false">F27/F$28</f>
        <v>0.871559633027523</v>
      </c>
      <c r="G35" s="1" t="n">
        <f aca="false">G27/G$28</f>
        <v>0.942148760330579</v>
      </c>
      <c r="H35" s="1" t="n">
        <f aca="false">H27/H$28</f>
        <v>0.792307692307692</v>
      </c>
      <c r="I35" s="1" t="n">
        <f aca="false">I27/I$28</f>
        <v>0.846153846153846</v>
      </c>
      <c r="J35" s="1" t="n">
        <f aca="false">J27/J$28</f>
        <v>0.556521739130435</v>
      </c>
      <c r="K35" s="1" t="n">
        <f aca="false">K27/K$28</f>
        <v>0.669421487603306</v>
      </c>
      <c r="L35" s="1" t="n">
        <f aca="false">L27/L$28</f>
        <v>0.194444444444444</v>
      </c>
      <c r="M35" s="1" t="n">
        <f aca="false">M27/M$28</f>
        <v>0.217054263565891</v>
      </c>
      <c r="N35" s="1" t="n">
        <f aca="false">N27/N$28</f>
        <v>0</v>
      </c>
      <c r="O35" s="1" t="n">
        <f aca="false">O27/O$28</f>
        <v>0</v>
      </c>
    </row>
    <row r="36" customFormat="false" ht="12.8" hidden="false" customHeight="false" outlineLevel="0" collapsed="false">
      <c r="A36" s="0" t="s">
        <v>2</v>
      </c>
      <c r="B36" s="0" t="n">
        <f aca="false">B28/B$28</f>
        <v>1</v>
      </c>
      <c r="C36" s="0" t="n">
        <f aca="false">C28/C$28</f>
        <v>1</v>
      </c>
      <c r="D36" s="0" t="n">
        <f aca="false">D28/D$28</f>
        <v>1</v>
      </c>
      <c r="E36" s="0" t="n">
        <f aca="false">E28/E$28</f>
        <v>1</v>
      </c>
      <c r="F36" s="0" t="n">
        <f aca="false">F28/F$28</f>
        <v>1</v>
      </c>
      <c r="G36" s="0" t="n">
        <f aca="false">G28/G$28</f>
        <v>1</v>
      </c>
      <c r="H36" s="0" t="n">
        <f aca="false">H28/H$28</f>
        <v>1</v>
      </c>
      <c r="I36" s="0" t="n">
        <f aca="false">I28/I$28</f>
        <v>1</v>
      </c>
      <c r="J36" s="0" t="n">
        <f aca="false">J28/J$28</f>
        <v>1</v>
      </c>
      <c r="K36" s="0" t="n">
        <f aca="false">K28/K$28</f>
        <v>1</v>
      </c>
      <c r="L36" s="0" t="n">
        <f aca="false">L28/L$28</f>
        <v>1</v>
      </c>
      <c r="M36" s="0" t="n">
        <f aca="false">M28/M$28</f>
        <v>1</v>
      </c>
      <c r="N36" s="0" t="n">
        <f aca="false">N28/N$28</f>
        <v>1</v>
      </c>
      <c r="O36" s="0" t="n">
        <f aca="false">O28/O$28</f>
        <v>1</v>
      </c>
    </row>
  </sheetData>
  <mergeCells count="14">
    <mergeCell ref="B24:C24"/>
    <mergeCell ref="D24:E24"/>
    <mergeCell ref="F24:G24"/>
    <mergeCell ref="H24:I24"/>
    <mergeCell ref="J24:K24"/>
    <mergeCell ref="L24:M24"/>
    <mergeCell ref="N24:O24"/>
    <mergeCell ref="B32:C32"/>
    <mergeCell ref="D32:E32"/>
    <mergeCell ref="F32:G32"/>
    <mergeCell ref="H32:I32"/>
    <mergeCell ref="J32:K32"/>
    <mergeCell ref="L32:M32"/>
    <mergeCell ref="N32:O3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2021-05-24T13:48:06Z</dcterms:created>
  <dc:creator/>
  <dc:description/>
  <dc:language>en-US</dc:language>
  <cp:lastModifiedBy/>
  <dcterms:modified xsi:type="dcterms:W3CDTF">2021-05-24T15:39:04Z</dcterms:modified>
  <cp:revision>10</cp:revision>
  <dc:subject/>
  <dc:title/>
</cp:coreProperties>
</file>