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<sst xmlns="http://schemas.openxmlformats.org/spreadsheetml/2006/main" count="9" uniqueCount="9">
  <si>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Age from</t>
  </si>
  <si>
    <t xml:space="preserve">to</t>
  </si>
  <si>
    <t xml:space="preserve">Number of Multiple Births</t>
  </si>
  <si>
    <t xml:space="preserve">x</t>
  </si>
  <si>
    <t xml:space="preserve">f</t>
  </si>
  <si>
    <t xml:space="preserve">(x-mean)^2*f</t>
  </si>
  <si>
    <t xml:space="preserve">mean</t>
  </si>
  <si>
    <t xml:space="preserve">st dev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</si>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</sst>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Multiple Births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 of Multiple Births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Sheet1!$A$2:$A$9</c:f>
              <c:strCach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44</c:v>
                </c:pt>
                <c:pt idx="1">
                  <c:v>404</c:v>
                </c:pt>
                <c:pt idx="2">
                  <c:v>1204</c:v>
                </c:pt>
                <c:pt idx="3">
                  <c:v>1872</c:v>
                </c:pt>
                <c:pt idx="4">
                  <c:v>1000</c:v>
                </c:pt>
                <c:pt idx="5">
                  <c:v>332</c:v>
                </c:pt>
                <c:pt idx="6">
                  <c:v>44</c:v>
                </c:pt>
                <c:pt idx="7">
                  <c:v>19</c:v>
                </c:pt>
              </c:numCache>
            </c:numRef>
          </c:val>
        </c:ser>
        <c:gapWidth val="100"/>
        <c:overlap val="0"/>
        <c:axId val="27875751"/>
        <c:axId val="75574813"/>
      </c:barChart>
      <c:catAx>
        <c:axId val="27875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Age of mother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5574813"/>
        <c:crosses val="autoZero"/>
        <c:auto val="1"/>
        <c:lblAlgn val="ctr"/>
        <c:lblOffset val="100"/>
      </c:catAx>
      <c:valAx>
        <c:axId val="7557481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787575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36360</xdr:colOff>
      <xdr:row>0</xdr:row>
      <xdr:rowOff>0</xdr:rowOff>
    </xdr:from>
    <xdr:to>
      <xdr:col>12</xdr:col>
      <xdr:colOff>106200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41000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41" activeCellId="0" sqref="C4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15</v>
      </c>
      <c r="B2" s="0" t="n">
        <v>19</v>
      </c>
      <c r="C2" s="0" t="n">
        <v>44</v>
      </c>
    </row>
    <row r="3" customFormat="false" ht="12.8" hidden="false" customHeight="false" outlineLevel="0" collapsed="false">
      <c r="A3" s="0" t="n">
        <v>20</v>
      </c>
      <c r="B3" s="0" t="n">
        <v>24</v>
      </c>
      <c r="C3" s="0" t="n">
        <v>404</v>
      </c>
    </row>
    <row r="4" customFormat="false" ht="12.8" hidden="false" customHeight="false" outlineLevel="0" collapsed="false">
      <c r="A4" s="0" t="n">
        <v>25</v>
      </c>
      <c r="B4" s="0" t="n">
        <v>29</v>
      </c>
      <c r="C4" s="0" t="n">
        <v>1204</v>
      </c>
    </row>
    <row r="5" customFormat="false" ht="12.8" hidden="false" customHeight="false" outlineLevel="0" collapsed="false">
      <c r="A5" s="0" t="n">
        <v>30</v>
      </c>
      <c r="B5" s="0" t="n">
        <v>34</v>
      </c>
      <c r="C5" s="0" t="n">
        <v>1872</v>
      </c>
    </row>
    <row r="6" customFormat="false" ht="12.8" hidden="false" customHeight="false" outlineLevel="0" collapsed="false">
      <c r="A6" s="0" t="n">
        <v>35</v>
      </c>
      <c r="B6" s="0" t="n">
        <v>39</v>
      </c>
      <c r="C6" s="0" t="n">
        <v>1000</v>
      </c>
    </row>
    <row r="7" customFormat="false" ht="12.8" hidden="false" customHeight="false" outlineLevel="0" collapsed="false">
      <c r="A7" s="0" t="n">
        <v>40</v>
      </c>
      <c r="B7" s="0" t="n">
        <v>44</v>
      </c>
      <c r="C7" s="0" t="n">
        <v>332</v>
      </c>
    </row>
    <row r="8" customFormat="false" ht="12.8" hidden="false" customHeight="false" outlineLevel="0" collapsed="false">
      <c r="A8" s="0" t="n">
        <v>45</v>
      </c>
      <c r="B8" s="0" t="n">
        <v>49</v>
      </c>
      <c r="C8" s="0" t="n">
        <v>44</v>
      </c>
    </row>
    <row r="9" customFormat="false" ht="12.8" hidden="false" customHeight="false" outlineLevel="0" collapsed="false">
      <c r="A9" s="0" t="n">
        <v>50</v>
      </c>
      <c r="B9" s="0" t="n">
        <v>54</v>
      </c>
      <c r="C9" s="0" t="n">
        <v>19</v>
      </c>
    </row>
    <row r="12" customFormat="false" ht="12.8" hidden="false" customHeight="false" outlineLevel="0" collapsed="false">
      <c r="A12" s="0" t="s">
        <v>3</v>
      </c>
      <c r="B12" s="0" t="s">
        <v>4</v>
      </c>
      <c r="C12" s="0" t="s">
        <v>5</v>
      </c>
      <c r="D12" s="0" t="s">
        <v>6</v>
      </c>
      <c r="E12" s="0" t="n">
        <f aca="false">SUMPRODUCT(A13:A20,B13:B20)/B21</f>
        <v>32.221589754015</v>
      </c>
    </row>
    <row r="13" customFormat="false" ht="12.8" hidden="false" customHeight="false" outlineLevel="0" collapsed="false">
      <c r="A13" s="0" t="n">
        <f aca="false">AVERAGE(A2,B2)+0.5</f>
        <v>17.5</v>
      </c>
      <c r="B13" s="0" t="n">
        <f aca="false">C2</f>
        <v>44</v>
      </c>
      <c r="C13" s="0" t="n">
        <f aca="false">(A13-$E$12)^2*B13</f>
        <v>9535.90901496291</v>
      </c>
      <c r="D13" s="0" t="s">
        <v>7</v>
      </c>
      <c r="E13" s="0" t="n">
        <f aca="false">SQRT(C21/(B21-1))</f>
        <v>5.62020600769719</v>
      </c>
    </row>
    <row r="14" customFormat="false" ht="12.8" hidden="false" customHeight="false" outlineLevel="0" collapsed="false">
      <c r="A14" s="0" t="n">
        <f aca="false">AVERAGE(A3,B3)+0.5</f>
        <v>22.5</v>
      </c>
      <c r="B14" s="0" t="n">
        <f aca="false">C3</f>
        <v>404</v>
      </c>
      <c r="C14" s="0" t="n">
        <f aca="false">(A14-$E$12)^2*B14</f>
        <v>38181.7601675296</v>
      </c>
    </row>
    <row r="15" customFormat="false" ht="12.8" hidden="false" customHeight="false" outlineLevel="0" collapsed="false">
      <c r="A15" s="0" t="n">
        <f aca="false">AVERAGE(A4,B4)+0.5</f>
        <v>27.5</v>
      </c>
      <c r="B15" s="0" t="n">
        <f aca="false">C4</f>
        <v>1204</v>
      </c>
      <c r="C15" s="0" t="n">
        <f aca="false">(A15-$E$12)^2*B15</f>
        <v>26841.2654054847</v>
      </c>
    </row>
    <row r="16" customFormat="false" ht="12.8" hidden="false" customHeight="false" outlineLevel="0" collapsed="false">
      <c r="A16" s="0" t="n">
        <f aca="false">AVERAGE(A5,B5)+0.5</f>
        <v>32.5</v>
      </c>
      <c r="B16" s="0" t="n">
        <f aca="false">C5</f>
        <v>1872</v>
      </c>
      <c r="C16" s="0" t="n">
        <f aca="false">(A16-$E$12)^2*B16</f>
        <v>145.102960209926</v>
      </c>
    </row>
    <row r="17" customFormat="false" ht="12.8" hidden="false" customHeight="false" outlineLevel="0" collapsed="false">
      <c r="A17" s="0" t="n">
        <f aca="false">AVERAGE(A6,B6)+0.5</f>
        <v>37.5</v>
      </c>
      <c r="B17" s="0" t="n">
        <f aca="false">C6</f>
        <v>1000</v>
      </c>
      <c r="C17" s="0" t="n">
        <f aca="false">(A17-$E$12)^2*B17</f>
        <v>27861.614724919</v>
      </c>
    </row>
    <row r="18" customFormat="false" ht="12.8" hidden="false" customHeight="false" outlineLevel="0" collapsed="false">
      <c r="A18" s="0" t="n">
        <f aca="false">AVERAGE(A7,B7)+0.5</f>
        <v>42.5</v>
      </c>
      <c r="B18" s="0" t="n">
        <f aca="false">C7</f>
        <v>332</v>
      </c>
      <c r="C18" s="0" t="n">
        <f aca="false">(A18-$E$12)^2*B18</f>
        <v>35074.3781053432</v>
      </c>
    </row>
    <row r="19" customFormat="false" ht="12.8" hidden="false" customHeight="false" outlineLevel="0" collapsed="false">
      <c r="A19" s="0" t="n">
        <f aca="false">AVERAGE(A8,B8)+0.5</f>
        <v>47.5</v>
      </c>
      <c r="B19" s="0" t="n">
        <f aca="false">C8</f>
        <v>44</v>
      </c>
      <c r="C19" s="0" t="n">
        <f aca="false">(A19-$E$12)^2*B19</f>
        <v>10270.9120643632</v>
      </c>
    </row>
    <row r="20" customFormat="false" ht="12.8" hidden="false" customHeight="false" outlineLevel="0" collapsed="false">
      <c r="A20" s="0" t="n">
        <f aca="false">AVERAGE(A9,B9)</f>
        <v>52</v>
      </c>
      <c r="B20" s="0" t="n">
        <f aca="false">C9</f>
        <v>19</v>
      </c>
      <c r="C20" s="0" t="n">
        <f aca="false">(A20-$E$12)^2*B20</f>
        <v>7432.52472531117</v>
      </c>
    </row>
    <row r="21" customFormat="false" ht="12.8" hidden="false" customHeight="false" outlineLevel="0" collapsed="false">
      <c r="A21" s="0" t="s">
        <v>8</v>
      </c>
      <c r="B21" s="0" t="n">
        <f aca="false">SUM(B13:B20)</f>
        <v>4919</v>
      </c>
      <c r="C21" s="0" t="n">
        <f aca="false">SUM(C13:C20)</f>
        <v>155343.467168124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2021-05-14T14:43:32Z</dcterms:created>
  <dc:creator/>
  <dc:description/>
  <dc:language>en-US</dc:language>
  <cp:lastModifiedBy/>
  <dcterms:modified xsi:type="dcterms:W3CDTF">2021-05-14T15:01:46Z</dcterms:modified>
  <cp:revision>3</cp:revision>
  <dc:subject/>
  <dc:title/>
</cp:coreProperties>
</file>