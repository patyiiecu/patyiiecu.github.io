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<sst xmlns="http://schemas.openxmlformats.org/spreadsheetml/2006/main" count="29" uniqueCount="13">
  <si>
    <t xml:space="preserve">x_bar=sample mean</t>
  </si>
  <si>
    <t xml:space="preserve">s=sample st dev</t>
  </si>
  <si>
    <t xml:space="preserve">( a )</t>
  </si>
  <si>
    <t xml:space="preserve">alpha</t>
  </si>
  <si>
    <t xml:space="preserve">n=sample size</t>
  </si>
  <si>
    <t xml:space="preserve">degrees of freedom=n-1</t>
  </si>
  <si>
    <t xml:space="preserve">t_crit</t>
  </si>
  <si>
    <t xml:space="preserve">(st err)=(st dev)/sqrt(n)</t>
  </si>
  <si>
    <t xml:space="preserve">E=(margin of error)=t_crit*(st err)</t>
  </si>
  <si>
    <t xml:space="preserve">(CI low)=x_bar-E</t>
  </si>
  <si>
    <t xml:space="preserve">(CI high)=x_bar+E</t>
  </si>
  <si>
    <t xml:space="preserve">( b )</t>
  </si>
  <si>
    <t xml:space="preserve">( c 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</si>
</sst>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2" activeCellId="0" sqref="K12"/>
    </sheetView>
  </sheetViews>
  <sheetFormatPr defaultRowHeight="12.8"/>
  <cols>
    <col collapsed="false" hidden="false" max="1" min="1" style="0" width="27.8367346938776"/>
    <col collapsed="false" hidden="false" max="2" min="2" style="0" width="14.1938775510204"/>
    <col collapsed="false" hidden="false" max="3" min="3" style="0" width="11.7448979591837"/>
    <col collapsed="false" hidden="false" max="1025" min="4" style="0" width="11.5204081632653"/>
  </cols>
  <sheetData>
    <row r="1" customFormat="false" ht="12.8" hidden="false" customHeight="false" outlineLevel="0" collapsed="false">
      <c r="A1" s="0" t="s">
        <v>0</v>
      </c>
      <c r="B1" s="0" t="n">
        <v>18.4</v>
      </c>
    </row>
    <row r="2" customFormat="false" ht="12.8" hidden="false" customHeight="false" outlineLevel="0" collapsed="false">
      <c r="A2" s="0" t="s">
        <v>1</v>
      </c>
      <c r="B2" s="0" t="n">
        <v>4.5</v>
      </c>
    </row>
    <row r="4" customFormat="false" ht="12.8" hidden="false" customHeight="false" outlineLevel="0" collapsed="false">
      <c r="A4" s="0" t="s">
        <v>2</v>
      </c>
    </row>
    <row r="5" customFormat="false" ht="12.8" hidden="false" customHeight="false" outlineLevel="0" collapsed="false">
      <c r="A5" s="0" t="s">
        <v>3</v>
      </c>
      <c r="B5" s="0" t="n">
        <v>0.05</v>
      </c>
    </row>
    <row r="6" customFormat="false" ht="12.8" hidden="false" customHeight="false" outlineLevel="0" collapsed="false">
      <c r="A6" s="0" t="s">
        <v>4</v>
      </c>
      <c r="B6" s="0" t="n">
        <v>35</v>
      </c>
    </row>
    <row r="7" customFormat="false" ht="12.8" hidden="false" customHeight="false" outlineLevel="0" collapsed="false">
      <c r="A7" s="0" t="s">
        <v>5</v>
      </c>
      <c r="B7" s="0" t="n">
        <f aca="false">B6-1</f>
        <v>34</v>
      </c>
    </row>
    <row r="8" customFormat="false" ht="12.8" hidden="false" customHeight="false" outlineLevel="0" collapsed="false">
      <c r="A8" s="0" t="s">
        <v>6</v>
      </c>
      <c r="B8" s="0" t="str">
        <f aca="false">"-T.INV("&amp;B5/2&amp;","&amp;B7&amp;")"</f>
        <v>-T.INV(0.025,34)</v>
      </c>
      <c r="C8" s="0" t="n">
        <f aca="false">-_xlfn.T.INV(B5/2,B7)</f>
        <v>2.03224450931772</v>
      </c>
    </row>
    <row r="9" customFormat="false" ht="12.8" hidden="false" customHeight="false" outlineLevel="0" collapsed="false">
      <c r="A9" s="0" t="s">
        <v>7</v>
      </c>
      <c r="B9" s="0" t="n">
        <f aca="false">$B$2/SQRT(B6)</f>
        <v>0.760638829255665</v>
      </c>
    </row>
    <row r="10" customFormat="false" ht="12.8" hidden="false" customHeight="false" outlineLevel="0" collapsed="false">
      <c r="A10" s="0" t="s">
        <v>8</v>
      </c>
      <c r="B10" s="0" t="n">
        <f aca="false">C8*B9</f>
        <v>1.54580408432868</v>
      </c>
    </row>
    <row r="11" customFormat="false" ht="12.8" hidden="false" customHeight="false" outlineLevel="0" collapsed="false">
      <c r="A11" s="0" t="s">
        <v>9</v>
      </c>
      <c r="B11" s="0" t="n">
        <f aca="false">$B$1-B10</f>
        <v>16.8541959156713</v>
      </c>
    </row>
    <row r="12" customFormat="false" ht="12.8" hidden="false" customHeight="false" outlineLevel="0" collapsed="false">
      <c r="A12" s="0" t="s">
        <v>10</v>
      </c>
      <c r="B12" s="0" t="n">
        <f aca="false">$B$1+B10</f>
        <v>19.9458040843287</v>
      </c>
    </row>
    <row r="14" customFormat="false" ht="12.8" hidden="false" customHeight="false" outlineLevel="0" collapsed="false">
      <c r="A14" s="0" t="s">
        <v>11</v>
      </c>
    </row>
    <row r="15" customFormat="false" ht="12.8" hidden="false" customHeight="false" outlineLevel="0" collapsed="false">
      <c r="A15" s="0" t="s">
        <v>3</v>
      </c>
      <c r="B15" s="0" t="n">
        <v>0.05</v>
      </c>
    </row>
    <row r="16" customFormat="false" ht="12.8" hidden="false" customHeight="false" outlineLevel="0" collapsed="false">
      <c r="A16" s="0" t="s">
        <v>4</v>
      </c>
      <c r="B16" s="0" t="n">
        <v>50</v>
      </c>
    </row>
    <row r="17" customFormat="false" ht="12.8" hidden="false" customHeight="false" outlineLevel="0" collapsed="false">
      <c r="A17" s="0" t="s">
        <v>5</v>
      </c>
      <c r="B17" s="0" t="n">
        <f aca="false">B16-1</f>
        <v>49</v>
      </c>
    </row>
    <row r="18" customFormat="false" ht="12.8" hidden="false" customHeight="false" outlineLevel="0" collapsed="false">
      <c r="A18" s="0" t="s">
        <v>6</v>
      </c>
      <c r="B18" s="0" t="str">
        <f aca="false">"-T.INV("&amp;B15/2&amp;","&amp;B17&amp;")"</f>
        <v>-T.INV(0.025,49)</v>
      </c>
      <c r="C18" s="0" t="n">
        <f aca="false">-_xlfn.T.INV(B15/2,B17)</f>
        <v>2.00957523712924</v>
      </c>
    </row>
    <row r="19" customFormat="false" ht="12.8" hidden="false" customHeight="false" outlineLevel="0" collapsed="false">
      <c r="A19" s="0" t="s">
        <v>7</v>
      </c>
      <c r="B19" s="0" t="n">
        <f aca="false">$B$2/SQRT(B16)</f>
        <v>0.636396103067893</v>
      </c>
    </row>
    <row r="20" customFormat="false" ht="12.8" hidden="false" customHeight="false" outlineLevel="0" collapsed="false">
      <c r="A20" s="0" t="s">
        <v>8</v>
      </c>
      <c r="B20" s="0" t="n">
        <f aca="false">C18*B19</f>
        <v>1.27888584973078</v>
      </c>
    </row>
    <row r="21" customFormat="false" ht="12.8" hidden="false" customHeight="false" outlineLevel="0" collapsed="false">
      <c r="A21" s="0" t="s">
        <v>9</v>
      </c>
      <c r="B21" s="0" t="n">
        <f aca="false">$B$1-B20</f>
        <v>17.1211141502692</v>
      </c>
    </row>
    <row r="22" customFormat="false" ht="12.8" hidden="false" customHeight="false" outlineLevel="0" collapsed="false">
      <c r="A22" s="0" t="s">
        <v>10</v>
      </c>
      <c r="B22" s="0" t="n">
        <f aca="false">$B$1+B20</f>
        <v>19.6788858497308</v>
      </c>
    </row>
    <row r="24" customFormat="false" ht="12.8" hidden="false" customHeight="false" outlineLevel="0" collapsed="false">
      <c r="A24" s="0" t="s">
        <v>12</v>
      </c>
    </row>
    <row r="25" customFormat="false" ht="12.8" hidden="false" customHeight="false" outlineLevel="0" collapsed="false">
      <c r="A25" s="0" t="s">
        <v>3</v>
      </c>
      <c r="B25" s="0" t="n">
        <v>0.01</v>
      </c>
    </row>
    <row r="26" customFormat="false" ht="12.8" hidden="false" customHeight="false" outlineLevel="0" collapsed="false">
      <c r="A26" s="0" t="s">
        <v>4</v>
      </c>
      <c r="B26" s="0" t="n">
        <v>35</v>
      </c>
    </row>
    <row r="27" customFormat="false" ht="12.8" hidden="false" customHeight="false" outlineLevel="0" collapsed="false">
      <c r="A27" s="0" t="s">
        <v>5</v>
      </c>
      <c r="B27" s="0" t="n">
        <f aca="false">B26-1</f>
        <v>34</v>
      </c>
    </row>
    <row r="28" customFormat="false" ht="12.8" hidden="false" customHeight="false" outlineLevel="0" collapsed="false">
      <c r="A28" s="0" t="s">
        <v>6</v>
      </c>
      <c r="B28" s="0" t="str">
        <f aca="false">"-T.INV("&amp;B25/2&amp;","&amp;B27&amp;")"</f>
        <v>-T.INV(0.005,34)</v>
      </c>
      <c r="C28" s="0" t="n">
        <f aca="false">-_xlfn.T.INV(B25/2,B27)</f>
        <v>2.72839436707072</v>
      </c>
    </row>
    <row r="29" customFormat="false" ht="12.8" hidden="false" customHeight="false" outlineLevel="0" collapsed="false">
      <c r="A29" s="0" t="s">
        <v>7</v>
      </c>
      <c r="B29" s="0" t="n">
        <f aca="false">$B$2/SQRT(B26)</f>
        <v>0.760638829255665</v>
      </c>
    </row>
    <row r="30" customFormat="false" ht="12.8" hidden="false" customHeight="false" outlineLevel="0" collapsed="false">
      <c r="A30" s="0" t="s">
        <v>8</v>
      </c>
      <c r="B30" s="0" t="n">
        <f aca="false">C28*B29</f>
        <v>2.07532269711643</v>
      </c>
    </row>
    <row r="31" customFormat="false" ht="12.8" hidden="false" customHeight="false" outlineLevel="0" collapsed="false">
      <c r="A31" s="0" t="s">
        <v>9</v>
      </c>
      <c r="B31" s="0" t="n">
        <f aca="false">$B$1-B30</f>
        <v>16.3246773028836</v>
      </c>
    </row>
    <row r="32" customFormat="false" ht="12.8" hidden="false" customHeight="false" outlineLevel="0" collapsed="false">
      <c r="A32" s="0" t="s">
        <v>10</v>
      </c>
      <c r="B32" s="0" t="n">
        <f aca="false">$B$1+B30</f>
        <v>20.4753226971164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2021-06-04T17:54:31Z</dcterms:created>
  <dc:creator/>
  <dc:description/>
  <dc:language>en-US</dc:language>
  <cp:lastModifiedBy/>
  <dcterms:modified xsi:type="dcterms:W3CDTF">2021-06-04T18:00:47Z</dcterms:modified>
  <cp:revision>2</cp:revision>
  <dc:subject/>
  <dc:title/>
</cp:coreProperties>
</file>