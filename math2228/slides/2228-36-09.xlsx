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1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<sst xmlns="http://schemas.openxmlformats.org/spreadsheetml/2006/main" count="31" uniqueCount="31">
  <si>
    <t xml:space="preserve">x</t>
  </si>
  <si>
    <t xml:space="preserve">i</t>
  </si>
  <si>
    <t xml:space="preserve">f_i=(i-3/8)/(n+1/4)</t>
  </si>
  <si>
    <t xml:space="preserve">z=norm.inv(f_i,0,1)</t>
  </si>
  <si>
    <t xml:space="preserve">n</t>
  </si>
  <si>
    <t xml:space="preserve">r=correl(x,z)</t>
  </si>
  <si>
    <t xml:space="preserve">r_crit(10)</t>
  </si>
  <si>
    <t xml:space="preserve">&lt;-- from table in the book.</t>
  </si>
  <si>
    <t xml:space="preserve">r&gt;r_crit</t>
  </si>
  <si>
    <t xml:space="preserve">So normal enough.</t>
  </si>
  <si>
    <t xml:space="preserve">x_bar=(sample mean)</t>
  </si>
  <si>
    <t xml:space="preserve">lower fence</t>
  </si>
  <si>
    <t xml:space="preserve">&lt;min</t>
  </si>
  <si>
    <t xml:space="preserve">s=(st dev)</t>
  </si>
  <si>
    <t xml:space="preserve">min</t>
  </si>
  <si>
    <t xml:space="preserve">n=(sample size)</t>
  </si>
  <si>
    <t xml:space="preserve">first quartile</t>
  </si>
  <si>
    <t xml:space="preserve">No outliers.</t>
  </si>
  <si>
    <t xml:space="preserve">alpha</t>
  </si>
  <si>
    <t xml:space="preserve">median</t>
  </si>
  <si>
    <t xml:space="preserve">degrees of freedom</t>
  </si>
  <si>
    <t xml:space="preserve">third quartile</t>
  </si>
  <si>
    <t xml:space="preserve">t_crit</t>
  </si>
  <si>
    <t xml:space="preserve">max</t>
  </si>
  <si>
    <t xml:space="preserve">(st err)=(st dev)/sqrt(n)</t>
  </si>
  <si>
    <t xml:space="preserve">upper fence</t>
  </si>
  <si>
    <t xml:space="preserve">&gt;max</t>
  </si>
  <si>
    <t xml:space="preserve">E=(margin of error)=t_crit*(st err)</t>
  </si>
  <si>
    <t xml:space="preserve">IQR</t>
  </si>
  <si>
    <t xml:space="preserve">(CI low)=x_bar-E</t>
  </si>
  <si>
    <t xml:space="preserve">(CI high)=x_bar+E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</si>
</sst>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3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  <a:r>
              <a:rPr b="0" sz="13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rPr>
              <a:t>Normal quantile-quantile plot</a:t>
            </a:r>
          </a:p>
        </c:rich>
      </c:tx>
      <c:overlay val="0"/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z=norm.inv(f_i,0,1)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Sheet1!$B$2:$B$11</c:f>
              <c:numCache>
                <c:formatCode>General</c:formatCode>
                <c:ptCount val="10"/>
                <c:pt idx="0">
                  <c:v>663</c:v>
                </c:pt>
                <c:pt idx="1">
                  <c:v>743</c:v>
                </c:pt>
                <c:pt idx="2">
                  <c:v>773</c:v>
                </c:pt>
                <c:pt idx="3">
                  <c:v>1071</c:v>
                </c:pt>
                <c:pt idx="4">
                  <c:v>1370</c:v>
                </c:pt>
                <c:pt idx="5">
                  <c:v>1758</c:v>
                </c:pt>
                <c:pt idx="6">
                  <c:v>2057</c:v>
                </c:pt>
                <c:pt idx="7">
                  <c:v>2637</c:v>
                </c:pt>
                <c:pt idx="8">
                  <c:v>3148</c:v>
                </c:pt>
                <c:pt idx="9">
                  <c:v>3345</c:v>
                </c:pt>
              </c:numCache>
            </c:numRef>
          </c:xVal>
          <c:yVal>
            <c:numRef>
              <c:f>Sheet1!$E$2:$E$11</c:f>
              <c:numCache>
                <c:formatCode>General</c:formatCode>
                <c:ptCount val="10"/>
                <c:pt idx="0">
                  <c:v>-1.54663527139923</c:v>
                </c:pt>
                <c:pt idx="1">
                  <c:v>-1.00049054561932</c:v>
                </c:pt>
                <c:pt idx="2">
                  <c:v>-0.655423505234427</c:v>
                </c:pt>
                <c:pt idx="3">
                  <c:v>-0.375461770235518</c:v>
                </c:pt>
                <c:pt idx="4">
                  <c:v>-0.122580843888802</c:v>
                </c:pt>
                <c:pt idx="5">
                  <c:v>0.122580843888803</c:v>
                </c:pt>
                <c:pt idx="6">
                  <c:v>0.375461770235518</c:v>
                </c:pt>
                <c:pt idx="7">
                  <c:v>0.655423505234427</c:v>
                </c:pt>
                <c:pt idx="8">
                  <c:v>1.00049054561932</c:v>
                </c:pt>
                <c:pt idx="9">
                  <c:v>1.54663527139923</c:v>
                </c:pt>
              </c:numCache>
            </c:numRef>
          </c:yVal>
          <c:smooth val="0"/>
        </c:ser>
        <c:axId val="79203676"/>
        <c:axId val="80468669"/>
      </c:scatterChart>
      <c:valAx>
        <c:axId val="7920367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rPr>
                  <a:t>x (observed)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80468669"/>
        <c:crosses val="autoZero"/>
        <c:crossBetween val="midCat"/>
      </c:valAx>
      <c:valAx>
        <c:axId val="80468669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rPr>
                  <a:t>z score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79203676"/>
        <c:crosses val="autoZero"/>
        <c:crossBetween val="midCat"/>
      </c:valAx>
      <c:spPr>
        <a:noFill/>
        <a:ln>
          <a:solidFill>
            <a:srgbClr val="b3b3b3"/>
          </a:solidFill>
        </a:ln>
      </c:spPr>
    </c:plotArea>
    <c:legend>
      <c:legendPos val="r"/>
      <c:overlay val="0"/>
      <c:spPr>
        <a:noFill/>
        <a:ln>
          <a:noFill/>
        </a:ln>
      </c:spPr>
    </c:legend>
    <c:plotVisOnly val="1"/>
    <c:dispBlanksAs val="span"/>
  </c:chart>
  <c:spPr>
    <a:solidFill>
      <a:srgbClr val="ffffff"/>
    </a:solidFill>
    <a:ln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179640</xdr:colOff>
      <xdr:row>0</xdr:row>
      <xdr:rowOff>0</xdr:rowOff>
    </xdr:from>
    <xdr:to>
      <xdr:col>13</xdr:col>
      <xdr:colOff>164520</xdr:colOff>
      <xdr:row>19</xdr:row>
      <xdr:rowOff>151200</xdr:rowOff>
    </xdr:to>
    <xdr:graphicFrame>
      <xdr:nvGraphicFramePr>
        <xdr:cNvPr id="0" name=""/>
        <xdr:cNvGraphicFramePr/>
      </xdr:nvGraphicFramePr>
      <xdr:xfrm>
        <a:off x="7030440" y="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26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28" activeCellId="0" sqref="I28"/>
    </sheetView>
  </sheetViews>
  <sheetFormatPr defaultRowHeight="12.8"/>
  <cols>
    <col collapsed="false" hidden="false" max="1" min="1" style="0" width="11.4642857142857"/>
    <col collapsed="false" hidden="false" max="2" min="2" style="0" width="16.5765306122449"/>
    <col collapsed="false" hidden="false" max="3" min="3" style="0" width="3.39285714285714"/>
    <col collapsed="false" hidden="false" max="4" min="4" style="0" width="22.0510204081633"/>
    <col collapsed="false" hidden="false" max="5" min="5" style="0" width="27.9438775510204"/>
    <col collapsed="false" hidden="false" max="6" min="6" style="0" width="15.6683673469388"/>
    <col collapsed="false" hidden="false" max="7" min="7" style="0" width="12.7244897959184"/>
    <col collapsed="false" hidden="false" max="1025" min="8" style="0" width="11.5204081632653"/>
  </cols>
  <sheetData>
    <row r="1" customFormat="false" ht="12.8" hidden="false" customHeight="false" outlineLevel="0" collapsed="false">
      <c r="B1" s="0" t="s">
        <v>0</v>
      </c>
      <c r="C1" s="0" t="s">
        <v>1</v>
      </c>
      <c r="D1" s="0" t="s">
        <v>2</v>
      </c>
      <c r="E1" s="0" t="s">
        <v>3</v>
      </c>
    </row>
    <row r="2" customFormat="false" ht="12.8" hidden="false" customHeight="false" outlineLevel="0" collapsed="false">
      <c r="A2" s="0" t="n">
        <v>3148</v>
      </c>
      <c r="B2" s="0" t="n">
        <v>663</v>
      </c>
      <c r="C2" s="0" t="n">
        <v>1</v>
      </c>
      <c r="D2" s="0" t="n">
        <f aca="false">(C2-3/8)/(10+1/4)</f>
        <v>0.0609756097560976</v>
      </c>
      <c r="E2" s="0" t="n">
        <f aca="false">_xlfn.NORM.INV(D2,0,1)</f>
        <v>-1.54663527139923</v>
      </c>
    </row>
    <row r="3" customFormat="false" ht="12.8" hidden="false" customHeight="false" outlineLevel="0" collapsed="false">
      <c r="A3" s="0" t="n">
        <v>1758</v>
      </c>
      <c r="B3" s="0" t="n">
        <v>743</v>
      </c>
      <c r="C3" s="0" t="n">
        <v>2</v>
      </c>
      <c r="D3" s="0" t="n">
        <f aca="false">(C3-3/8)/(10+1/4)</f>
        <v>0.158536585365854</v>
      </c>
      <c r="E3" s="0" t="n">
        <f aca="false">_xlfn.NORM.INV(D3,0,1)</f>
        <v>-1.00049054561932</v>
      </c>
    </row>
    <row r="4" customFormat="false" ht="12.8" hidden="false" customHeight="false" outlineLevel="0" collapsed="false">
      <c r="A4" s="0" t="n">
        <v>1071</v>
      </c>
      <c r="B4" s="0" t="n">
        <v>773</v>
      </c>
      <c r="C4" s="0" t="n">
        <v>3</v>
      </c>
      <c r="D4" s="0" t="n">
        <f aca="false">(C4-3/8)/(10+1/4)</f>
        <v>0.25609756097561</v>
      </c>
      <c r="E4" s="0" t="n">
        <f aca="false">_xlfn.NORM.INV(D4,0,1)</f>
        <v>-0.655423505234427</v>
      </c>
    </row>
    <row r="5" customFormat="false" ht="12.8" hidden="false" customHeight="false" outlineLevel="0" collapsed="false">
      <c r="A5" s="0" t="n">
        <v>3345</v>
      </c>
      <c r="B5" s="0" t="n">
        <v>1071</v>
      </c>
      <c r="C5" s="0" t="n">
        <v>4</v>
      </c>
      <c r="D5" s="0" t="n">
        <f aca="false">(C5-3/8)/(10+1/4)</f>
        <v>0.353658536585366</v>
      </c>
      <c r="E5" s="0" t="n">
        <f aca="false">_xlfn.NORM.INV(D5,0,1)</f>
        <v>-0.375461770235518</v>
      </c>
    </row>
    <row r="6" customFormat="false" ht="12.8" hidden="false" customHeight="false" outlineLevel="0" collapsed="false">
      <c r="A6" s="0" t="n">
        <v>743</v>
      </c>
      <c r="B6" s="0" t="n">
        <v>1370</v>
      </c>
      <c r="C6" s="0" t="n">
        <v>5</v>
      </c>
      <c r="D6" s="0" t="n">
        <f aca="false">(C6-3/8)/(10+1/4)</f>
        <v>0.451219512195122</v>
      </c>
      <c r="E6" s="0" t="n">
        <f aca="false">_xlfn.NORM.INV(D6,0,1)</f>
        <v>-0.122580843888802</v>
      </c>
    </row>
    <row r="7" customFormat="false" ht="12.8" hidden="false" customHeight="false" outlineLevel="0" collapsed="false">
      <c r="A7" s="0" t="n">
        <v>2057</v>
      </c>
      <c r="B7" s="0" t="n">
        <v>1758</v>
      </c>
      <c r="C7" s="0" t="n">
        <v>6</v>
      </c>
      <c r="D7" s="0" t="n">
        <f aca="false">(C7-3/8)/(10+1/4)</f>
        <v>0.548780487804878</v>
      </c>
      <c r="E7" s="0" t="n">
        <f aca="false">_xlfn.NORM.INV(D7,0,1)</f>
        <v>0.122580843888803</v>
      </c>
    </row>
    <row r="8" customFormat="false" ht="12.8" hidden="false" customHeight="false" outlineLevel="0" collapsed="false">
      <c r="A8" s="0" t="n">
        <v>663</v>
      </c>
      <c r="B8" s="0" t="n">
        <v>2057</v>
      </c>
      <c r="C8" s="0" t="n">
        <v>7</v>
      </c>
      <c r="D8" s="0" t="n">
        <f aca="false">(C8-3/8)/(10+1/4)</f>
        <v>0.646341463414634</v>
      </c>
      <c r="E8" s="0" t="n">
        <f aca="false">_xlfn.NORM.INV(D8,0,1)</f>
        <v>0.375461770235518</v>
      </c>
    </row>
    <row r="9" customFormat="false" ht="12.8" hidden="false" customHeight="false" outlineLevel="0" collapsed="false">
      <c r="A9" s="0" t="n">
        <v>2637</v>
      </c>
      <c r="B9" s="0" t="n">
        <v>2637</v>
      </c>
      <c r="C9" s="0" t="n">
        <v>8</v>
      </c>
      <c r="D9" s="0" t="n">
        <f aca="false">(C9-3/8)/(10+1/4)</f>
        <v>0.74390243902439</v>
      </c>
      <c r="E9" s="0" t="n">
        <f aca="false">_xlfn.NORM.INV(D9,0,1)</f>
        <v>0.655423505234427</v>
      </c>
    </row>
    <row r="10" customFormat="false" ht="12.8" hidden="false" customHeight="false" outlineLevel="0" collapsed="false">
      <c r="A10" s="0" t="n">
        <v>773</v>
      </c>
      <c r="B10" s="0" t="n">
        <v>3148</v>
      </c>
      <c r="C10" s="0" t="n">
        <v>9</v>
      </c>
      <c r="D10" s="0" t="n">
        <f aca="false">(C10-3/8)/(10+1/4)</f>
        <v>0.841463414634146</v>
      </c>
      <c r="E10" s="0" t="n">
        <f aca="false">_xlfn.NORM.INV(D10,0,1)</f>
        <v>1.00049054561932</v>
      </c>
    </row>
    <row r="11" customFormat="false" ht="12.8" hidden="false" customHeight="false" outlineLevel="0" collapsed="false">
      <c r="A11" s="0" t="n">
        <v>1370</v>
      </c>
      <c r="B11" s="0" t="n">
        <v>3345</v>
      </c>
      <c r="C11" s="0" t="n">
        <v>10</v>
      </c>
      <c r="D11" s="0" t="n">
        <f aca="false">(C11-3/8)/(10+1/4)</f>
        <v>0.939024390243902</v>
      </c>
      <c r="E11" s="0" t="n">
        <f aca="false">_xlfn.NORM.INV(D11,0,1)</f>
        <v>1.54663527139923</v>
      </c>
    </row>
    <row r="13" customFormat="false" ht="12.8" hidden="false" customHeight="false" outlineLevel="0" collapsed="false">
      <c r="A13" s="0" t="s">
        <v>4</v>
      </c>
      <c r="B13" s="0" t="n">
        <f aca="false">COUNT(B2:B11)</f>
        <v>10</v>
      </c>
    </row>
    <row r="14" customFormat="false" ht="12.8" hidden="false" customHeight="false" outlineLevel="0" collapsed="false">
      <c r="A14" s="0" t="s">
        <v>5</v>
      </c>
      <c r="B14" s="0" t="n">
        <f aca="false">CORREL(B2:B11,E2:E11)</f>
        <v>0.961065204359687</v>
      </c>
    </row>
    <row r="15" customFormat="false" ht="12.8" hidden="false" customHeight="false" outlineLevel="0" collapsed="false">
      <c r="A15" s="0" t="s">
        <v>6</v>
      </c>
      <c r="B15" s="0" t="n">
        <v>0.918</v>
      </c>
      <c r="D15" s="0" t="s">
        <v>7</v>
      </c>
    </row>
    <row r="16" customFormat="false" ht="12.8" hidden="false" customHeight="false" outlineLevel="0" collapsed="false">
      <c r="A16" s="0" t="s">
        <v>8</v>
      </c>
      <c r="B16" s="0" t="s">
        <v>9</v>
      </c>
    </row>
    <row r="17" customFormat="false" ht="12.8" hidden="false" customHeight="false" outlineLevel="0" collapsed="false">
      <c r="E17" s="0" t="s">
        <v>10</v>
      </c>
      <c r="F17" s="0" t="n">
        <f aca="false">AVERAGE(B2:B11)</f>
        <v>1756.5</v>
      </c>
    </row>
    <row r="18" customFormat="false" ht="12.8" hidden="false" customHeight="false" outlineLevel="0" collapsed="false">
      <c r="A18" s="0" t="s">
        <v>11</v>
      </c>
      <c r="B18" s="0" t="n">
        <f aca="false">B20-1.5*B25</f>
        <v>-2233.375</v>
      </c>
      <c r="D18" s="0" t="s">
        <v>12</v>
      </c>
      <c r="E18" s="0" t="s">
        <v>13</v>
      </c>
      <c r="F18" s="0" t="n">
        <f aca="false">STDEV(B2:B11)</f>
        <v>1007.45424489431</v>
      </c>
    </row>
    <row r="19" customFormat="false" ht="12.8" hidden="false" customHeight="false" outlineLevel="0" collapsed="false">
      <c r="A19" s="0" t="s">
        <v>14</v>
      </c>
      <c r="B19" s="0" t="n">
        <f aca="false">MIN(B2:B11)</f>
        <v>663</v>
      </c>
      <c r="E19" s="0" t="s">
        <v>15</v>
      </c>
      <c r="F19" s="0" t="n">
        <f aca="false">B13</f>
        <v>10</v>
      </c>
    </row>
    <row r="20" customFormat="false" ht="12.8" hidden="false" customHeight="false" outlineLevel="0" collapsed="false">
      <c r="A20" s="0" t="s">
        <v>16</v>
      </c>
      <c r="B20" s="0" t="n">
        <f aca="false">_xlfn.QUARTILE.EXC(B1:B11 ,1)</f>
        <v>765.5</v>
      </c>
      <c r="D20" s="0" t="s">
        <v>17</v>
      </c>
      <c r="E20" s="0" t="s">
        <v>18</v>
      </c>
      <c r="F20" s="0" t="n">
        <v>0.05</v>
      </c>
    </row>
    <row r="21" customFormat="false" ht="12.8" hidden="false" customHeight="false" outlineLevel="0" collapsed="false">
      <c r="A21" s="0" t="s">
        <v>19</v>
      </c>
      <c r="B21" s="0" t="n">
        <f aca="false">MEDIAN(B1:B11 )</f>
        <v>1564</v>
      </c>
      <c r="E21" s="0" t="s">
        <v>20</v>
      </c>
      <c r="F21" s="0" t="n">
        <f aca="false">F19-1</f>
        <v>9</v>
      </c>
    </row>
    <row r="22" customFormat="false" ht="12.8" hidden="false" customHeight="false" outlineLevel="0" collapsed="false">
      <c r="A22" s="0" t="s">
        <v>21</v>
      </c>
      <c r="B22" s="0" t="n">
        <f aca="false">_xlfn.QUARTILE.EXC(B1:B11 ,3)</f>
        <v>2764.75</v>
      </c>
      <c r="E22" s="0" t="s">
        <v>22</v>
      </c>
      <c r="G22" s="0" t="n">
        <f aca="false">-_xlfn.T.INV(F20/2,F21)</f>
        <v>2.2621571627982</v>
      </c>
    </row>
    <row r="23" customFormat="false" ht="12.8" hidden="false" customHeight="false" outlineLevel="0" collapsed="false">
      <c r="A23" s="0" t="s">
        <v>23</v>
      </c>
      <c r="B23" s="0" t="n">
        <f aca="false">MAX(B2:B11)</f>
        <v>3345</v>
      </c>
      <c r="E23" s="0" t="s">
        <v>24</v>
      </c>
      <c r="F23" s="0" t="n">
        <f aca="false">F18/SQRT(F19)</f>
        <v>318.585005227107</v>
      </c>
    </row>
    <row r="24" customFormat="false" ht="12.8" hidden="false" customHeight="false" outlineLevel="0" collapsed="false">
      <c r="A24" s="0" t="s">
        <v>25</v>
      </c>
      <c r="B24" s="0" t="n">
        <f aca="false">B22+1.5*B25</f>
        <v>5763.625</v>
      </c>
      <c r="D24" s="0" t="s">
        <v>26</v>
      </c>
      <c r="E24" s="0" t="s">
        <v>27</v>
      </c>
      <c r="F24" s="0" t="n">
        <f aca="false">G22*F23</f>
        <v>720.689351534602</v>
      </c>
    </row>
    <row r="25" customFormat="false" ht="12.8" hidden="false" customHeight="false" outlineLevel="0" collapsed="false">
      <c r="A25" s="0" t="s">
        <v>28</v>
      </c>
      <c r="B25" s="0" t="n">
        <f aca="false">B22-B20</f>
        <v>1999.25</v>
      </c>
      <c r="E25" s="0" t="s">
        <v>29</v>
      </c>
      <c r="F25" s="0" t="n">
        <f aca="false">F17-F24</f>
        <v>1035.8106484654</v>
      </c>
      <c r="G25" s="0" t="n">
        <f aca="false">ROUND(F25,2)</f>
        <v>1035.81</v>
      </c>
    </row>
    <row r="26" customFormat="false" ht="12.8" hidden="false" customHeight="false" outlineLevel="0" collapsed="false">
      <c r="E26" s="0" t="s">
        <v>30</v>
      </c>
      <c r="F26" s="0" t="n">
        <f aca="false">F17+F24</f>
        <v>2477.1893515346</v>
      </c>
      <c r="G26" s="0" t="n">
        <f aca="false">ROUND(F26,2)</f>
        <v>2477.19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LibreOffice/5.1.5.2$Windows_x86 LibreOffice_project/7a864d8825610a8c07cfc3bc01dd4fce6a9447e5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2021-06-04T18:30:59Z</dcterms:created>
  <dc:creator/>
  <dc:description/>
  <dc:language>en-US</dc:language>
  <cp:lastModifiedBy/>
  <dcterms:modified xsi:type="dcterms:W3CDTF">2021-06-04T18:58:47Z</dcterms:modified>
  <cp:revision>4</cp:revision>
  <dc:subject/>
  <dc:title/>
</cp:coreProperties>
</file>