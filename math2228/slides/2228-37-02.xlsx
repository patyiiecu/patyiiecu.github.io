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<sst xmlns="http://schemas.openxmlformats.org/spreadsheetml/2006/main" count="11" uniqueCount="11">
  <si>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x_bar=sample mean</t>
  </si>
  <si>
    <t xml:space="preserve">s=sample st dev</t>
  </si>
  <si>
    <t xml:space="preserve">alpha</t>
  </si>
  <si>
    <t xml:space="preserve">n=sample size</t>
  </si>
  <si>
    <t xml:space="preserve">degrees of freedom=n-1</t>
  </si>
  <si>
    <t xml:space="preserve">t_crit</t>
  </si>
  <si>
    <t xml:space="preserve"> -T.INV(B4/2,B6)</t>
  </si>
  <si>
    <t xml:space="preserve">(st err)=(st dev)/sqrt(n)</t>
  </si>
  <si>
    <t xml:space="preserve">E=(margin of error)=t_crit*(st err)</t>
  </si>
  <si>
    <t xml:space="preserve">(CI low)=x_bar-E</t>
  </si>
  <si>
    <t xml:space="preserve">(CI high)=x_bar+E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</si>
</sst>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RowHeight="12.8"/>
  <cols>
    <col collapsed="false" hidden="false" max="1" min="1" style="0" width="27.9438775510204"/>
    <col collapsed="false" hidden="false" max="2" min="2" style="0" width="14.6887755102041"/>
    <col collapsed="false" hidden="false" max="3" min="3" style="0" width="12.724489795918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45</v>
      </c>
    </row>
    <row r="2" customFormat="false" ht="12.8" hidden="false" customHeight="false" outlineLevel="0" collapsed="false">
      <c r="A2" s="0" t="s">
        <v>1</v>
      </c>
      <c r="B2" s="0" t="n">
        <v>14</v>
      </c>
    </row>
    <row r="4" customFormat="false" ht="12.8" hidden="false" customHeight="false" outlineLevel="0" collapsed="false">
      <c r="A4" s="0" t="s">
        <v>2</v>
      </c>
      <c r="B4" s="0" t="n">
        <v>0.1</v>
      </c>
    </row>
    <row r="5" customFormat="false" ht="12.8" hidden="false" customHeight="false" outlineLevel="0" collapsed="false">
      <c r="A5" s="0" t="s">
        <v>3</v>
      </c>
      <c r="B5" s="0" t="n">
        <v>12</v>
      </c>
    </row>
    <row r="6" customFormat="false" ht="12.8" hidden="false" customHeight="false" outlineLevel="0" collapsed="false">
      <c r="A6" s="0" t="s">
        <v>4</v>
      </c>
      <c r="B6" s="0" t="n">
        <f aca="false">B5-1</f>
        <v>11</v>
      </c>
    </row>
    <row r="7" customFormat="false" ht="12.8" hidden="false" customHeight="false" outlineLevel="0" collapsed="false">
      <c r="A7" s="0" t="s">
        <v>5</v>
      </c>
      <c r="B7" s="0" t="s">
        <v>6</v>
      </c>
      <c r="C7" s="0" t="n">
        <f aca="false">-_xlfn.T.INV(B4/2,B6)</f>
        <v>1.79588481870404</v>
      </c>
    </row>
    <row r="8" customFormat="false" ht="12.8" hidden="false" customHeight="false" outlineLevel="0" collapsed="false">
      <c r="A8" s="0" t="s">
        <v>7</v>
      </c>
      <c r="B8" s="0" t="n">
        <f aca="false">B2/SQRT(B5)</f>
        <v>4.04145188432738</v>
      </c>
    </row>
    <row r="9" customFormat="false" ht="12.8" hidden="false" customHeight="false" outlineLevel="0" collapsed="false">
      <c r="A9" s="0" t="s">
        <v>8</v>
      </c>
      <c r="B9" s="0" t="n">
        <f aca="false">C7*B8</f>
        <v>7.2579820845864</v>
      </c>
    </row>
    <row r="10" customFormat="false" ht="12.8" hidden="false" customHeight="false" outlineLevel="0" collapsed="false">
      <c r="A10" s="0" t="s">
        <v>9</v>
      </c>
      <c r="B10" s="0" t="n">
        <f aca="false">B1-B9</f>
        <v>37.7420179154136</v>
      </c>
      <c r="C10" s="0" t="n">
        <f aca="false">ROUND(B10,2)</f>
        <v>37.74</v>
      </c>
    </row>
    <row r="11" customFormat="false" ht="12.8" hidden="false" customHeight="false" outlineLevel="0" collapsed="false">
      <c r="A11" s="0" t="s">
        <v>10</v>
      </c>
      <c r="B11" s="0" t="n">
        <f aca="false">B1+B9</f>
        <v>52.2579820845864</v>
      </c>
      <c r="C11" s="0" t="n">
        <f aca="false">ROUND(B11,2)</f>
        <v>52.26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2021-06-05T10:45:46Z</dcterms:created>
  <dc:creator/>
  <dc:description/>
  <dc:language>en-US</dc:language>
  <cp:lastModifiedBy/>
  <dcterms:modified xsi:type="dcterms:W3CDTF">2021-06-05T10:52:38Z</dcterms:modified>
  <cp:revision>3</cp:revision>
  <dc:subject/>
  <dc:title/>
</cp:coreProperties>
</file>