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<sst xmlns="http://schemas.openxmlformats.org/spreadsheetml/2006/main" count="22" uniqueCount="22">
  <si>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Age</t>
  </si>
  <si>
    <t xml:space="preserve"> Male Resident Pop </t>
  </si>
  <si>
    <t xml:space="preserve">Female Resident Pop</t>
  </si>
  <si>
    <t xml:space="preserve"> 0-9 </t>
  </si>
  <si>
    <t xml:space="preserve">10-19 </t>
  </si>
  <si>
    <t xml:space="preserve">20-29 </t>
  </si>
  <si>
    <t xml:space="preserve">30-39 </t>
  </si>
  <si>
    <t xml:space="preserve">40-49 </t>
  </si>
  <si>
    <t xml:space="preserve">50-59 </t>
  </si>
  <si>
    <t xml:space="preserve">60-69 </t>
  </si>
  <si>
    <t xml:space="preserve">70-79 </t>
  </si>
  <si>
    <t xml:space="preserve">80+ </t>
  </si>
  <si>
    <t xml:space="preserve">x</t>
  </si>
  <si>
    <t xml:space="preserve">mf</t>
  </si>
  <si>
    <t xml:space="preserve">ff</t>
  </si>
  <si>
    <t xml:space="preserve">(x-mmean)^2</t>
  </si>
  <si>
    <t xml:space="preserve">(x-fmean)^2</t>
  </si>
  <si>
    <t xml:space="preserve">total</t>
  </si>
  <si>
    <t xml:space="preserve">mean</t>
  </si>
  <si>
    <t xml:space="preserve">st dev</t>
  </si>
  <si>
    <t xml:space="preserve">mean, rounded</t>
  </si>
  <si>
    <t xml:space="preserve">st dev, rounded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</si>
</sst>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26" activeCellId="0" sqref="E26"/>
    </sheetView>
  </sheetViews>
  <sheetFormatPr defaultRowHeight="12.8"/>
  <cols>
    <col collapsed="false" hidden="false" max="1" min="1" style="0" width="13.4795918367347"/>
    <col collapsed="false" hidden="false" max="2" min="2" style="0" width="17.2959183673469"/>
    <col collapsed="false" hidden="false" max="3" min="3" style="0" width="18.3877551020408"/>
    <col collapsed="false" hidden="false" max="5" min="4" style="0" width="16.1275510204082"/>
    <col collapsed="false" hidden="false" max="1025" min="6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20700000</v>
      </c>
      <c r="C2" s="0" t="n">
        <v>19826000</v>
      </c>
    </row>
    <row r="3" customFormat="false" ht="12.8" hidden="false" customHeight="false" outlineLevel="0" collapsed="false">
      <c r="A3" s="0" t="s">
        <v>4</v>
      </c>
      <c r="B3" s="0" t="n">
        <v>21369000</v>
      </c>
      <c r="C3" s="0" t="n">
        <v>20475000</v>
      </c>
    </row>
    <row r="4" customFormat="false" ht="12.8" hidden="false" customHeight="false" outlineLevel="0" collapsed="false">
      <c r="A4" s="0" t="s">
        <v>5</v>
      </c>
      <c r="B4" s="0" t="n">
        <v>21417000</v>
      </c>
      <c r="C4" s="0" t="n">
        <v>21355000</v>
      </c>
    </row>
    <row r="5" customFormat="false" ht="12.8" hidden="false" customHeight="false" outlineLevel="0" collapsed="false">
      <c r="A5" s="0" t="s">
        <v>6</v>
      </c>
      <c r="B5" s="0" t="n">
        <v>19455000</v>
      </c>
      <c r="C5" s="0" t="n">
        <v>20011000</v>
      </c>
    </row>
    <row r="6" customFormat="false" ht="12.8" hidden="false" customHeight="false" outlineLevel="0" collapsed="false">
      <c r="A6" s="0" t="s">
        <v>7</v>
      </c>
      <c r="B6" s="0" t="n">
        <v>20839000</v>
      </c>
      <c r="C6" s="0" t="n">
        <v>21532000</v>
      </c>
    </row>
    <row r="7" customFormat="false" ht="12.8" hidden="false" customHeight="false" outlineLevel="0" collapsed="false">
      <c r="A7" s="0" t="s">
        <v>8</v>
      </c>
      <c r="B7" s="0" t="n">
        <v>20785000</v>
      </c>
      <c r="C7" s="0" t="n">
        <v>22058000</v>
      </c>
    </row>
    <row r="8" customFormat="false" ht="12.8" hidden="false" customHeight="false" outlineLevel="0" collapsed="false">
      <c r="A8" s="0" t="s">
        <v>9</v>
      </c>
      <c r="B8" s="0" t="n">
        <v>14739000</v>
      </c>
      <c r="C8" s="0" t="n">
        <v>16362000</v>
      </c>
    </row>
    <row r="9" customFormat="false" ht="12.8" hidden="false" customHeight="false" outlineLevel="0" collapsed="false">
      <c r="A9" s="0" t="s">
        <v>10</v>
      </c>
      <c r="B9" s="0" t="n">
        <v>7641000</v>
      </c>
      <c r="C9" s="0" t="n">
        <v>9474000</v>
      </c>
    </row>
    <row r="10" customFormat="false" ht="12.8" hidden="false" customHeight="false" outlineLevel="0" collapsed="false">
      <c r="A10" s="1" t="s">
        <v>11</v>
      </c>
      <c r="B10" s="0" t="n">
        <v>4230000</v>
      </c>
      <c r="C10" s="0" t="n">
        <v>6561000</v>
      </c>
    </row>
    <row r="12" customFormat="false" ht="12.8" hidden="false" customHeight="false" outlineLevel="0" collapsed="false">
      <c r="A12" s="0" t="s">
        <v>12</v>
      </c>
      <c r="B12" s="0" t="s">
        <v>13</v>
      </c>
      <c r="C12" s="0" t="s">
        <v>14</v>
      </c>
      <c r="D12" s="0" t="s">
        <v>15</v>
      </c>
      <c r="E12" s="0" t="s">
        <v>16</v>
      </c>
    </row>
    <row r="13" customFormat="false" ht="12.8" hidden="false" customHeight="false" outlineLevel="0" collapsed="false">
      <c r="A13" s="0" t="n">
        <v>5</v>
      </c>
      <c r="B13" s="0" t="n">
        <f aca="false">B2</f>
        <v>20700000</v>
      </c>
      <c r="C13" s="0" t="n">
        <f aca="false">C2</f>
        <v>19826000</v>
      </c>
      <c r="D13" s="0" t="n">
        <f aca="false">(A13-B$23)^2</f>
        <v>1031.84695837624</v>
      </c>
      <c r="E13" s="0" t="n">
        <f aca="false">(A13-C$23)^2</f>
        <v>1158.54794105745</v>
      </c>
    </row>
    <row r="14" customFormat="false" ht="12.8" hidden="false" customHeight="false" outlineLevel="0" collapsed="false">
      <c r="A14" s="0" t="n">
        <f aca="false">A13+10</f>
        <v>15</v>
      </c>
      <c r="B14" s="0" t="n">
        <f aca="false">B3</f>
        <v>21369000</v>
      </c>
      <c r="C14" s="0" t="n">
        <f aca="false">C3</f>
        <v>20475000</v>
      </c>
      <c r="D14" s="0" t="n">
        <f aca="false">(A14-B$23)^2</f>
        <v>489.399463750809</v>
      </c>
      <c r="E14" s="0" t="n">
        <f aca="false">(A14-C$23)^2</f>
        <v>577.798959109639</v>
      </c>
    </row>
    <row r="15" customFormat="false" ht="12.8" hidden="false" customHeight="false" outlineLevel="0" collapsed="false">
      <c r="A15" s="0" t="n">
        <f aca="false">A14+10</f>
        <v>25</v>
      </c>
      <c r="B15" s="0" t="n">
        <f aca="false">B4</f>
        <v>21417000</v>
      </c>
      <c r="C15" s="0" t="n">
        <f aca="false">C4</f>
        <v>21355000</v>
      </c>
      <c r="D15" s="0" t="n">
        <f aca="false">(A15-B$23)^2</f>
        <v>146.951969125375</v>
      </c>
      <c r="E15" s="0" t="n">
        <f aca="false">(A15-C$23)^2</f>
        <v>197.049977161829</v>
      </c>
    </row>
    <row r="16" customFormat="false" ht="12.8" hidden="false" customHeight="false" outlineLevel="0" collapsed="false">
      <c r="A16" s="0" t="n">
        <f aca="false">A15+10</f>
        <v>35</v>
      </c>
      <c r="B16" s="0" t="n">
        <f aca="false">B5</f>
        <v>19455000</v>
      </c>
      <c r="C16" s="0" t="n">
        <f aca="false">C5</f>
        <v>20011000</v>
      </c>
      <c r="D16" s="0" t="n">
        <f aca="false">(A16-B$23)^2</f>
        <v>4.50447449994064</v>
      </c>
      <c r="E16" s="0" t="n">
        <f aca="false">(A16-C$23)^2</f>
        <v>16.3009952140192</v>
      </c>
    </row>
    <row r="17" customFormat="false" ht="12.8" hidden="false" customHeight="false" outlineLevel="0" collapsed="false">
      <c r="A17" s="0" t="n">
        <f aca="false">A16+10</f>
        <v>45</v>
      </c>
      <c r="B17" s="0" t="n">
        <f aca="false">B6</f>
        <v>20839000</v>
      </c>
      <c r="C17" s="0" t="n">
        <f aca="false">C6</f>
        <v>21532000</v>
      </c>
      <c r="D17" s="0" t="n">
        <f aca="false">(A17-B$23)^2</f>
        <v>62.0569798745065</v>
      </c>
      <c r="E17" s="0" t="n">
        <f aca="false">(A17-C$23)^2</f>
        <v>35.5520132662095</v>
      </c>
    </row>
    <row r="18" customFormat="false" ht="12.8" hidden="false" customHeight="false" outlineLevel="0" collapsed="false">
      <c r="A18" s="0" t="n">
        <f aca="false">A17+10</f>
        <v>55</v>
      </c>
      <c r="B18" s="0" t="n">
        <f aca="false">B7</f>
        <v>20785000</v>
      </c>
      <c r="C18" s="0" t="n">
        <f aca="false">C7</f>
        <v>22058000</v>
      </c>
      <c r="D18" s="0" t="n">
        <f aca="false">(A18-B$23)^2</f>
        <v>319.609485249072</v>
      </c>
      <c r="E18" s="0" t="n">
        <f aca="false">(A18-C$23)^2</f>
        <v>254.8030313184</v>
      </c>
    </row>
    <row r="19" customFormat="false" ht="12.8" hidden="false" customHeight="false" outlineLevel="0" collapsed="false">
      <c r="A19" s="0" t="n">
        <f aca="false">A18+10</f>
        <v>65</v>
      </c>
      <c r="B19" s="0" t="n">
        <f aca="false">B8</f>
        <v>14739000</v>
      </c>
      <c r="C19" s="0" t="n">
        <f aca="false">C8</f>
        <v>16362000</v>
      </c>
      <c r="D19" s="0" t="n">
        <f aca="false">(A19-B$23)^2</f>
        <v>777.161990623638</v>
      </c>
      <c r="E19" s="0" t="n">
        <f aca="false">(A19-C$23)^2</f>
        <v>674.05404937059</v>
      </c>
    </row>
    <row r="20" customFormat="false" ht="12.8" hidden="false" customHeight="false" outlineLevel="0" collapsed="false">
      <c r="A20" s="0" t="n">
        <f aca="false">A19+10</f>
        <v>75</v>
      </c>
      <c r="B20" s="0" t="n">
        <f aca="false">B9</f>
        <v>7641000</v>
      </c>
      <c r="C20" s="0" t="n">
        <f aca="false">C9</f>
        <v>9474000</v>
      </c>
      <c r="D20" s="0" t="n">
        <f aca="false">(A20-B$23)^2</f>
        <v>1434.7144959982</v>
      </c>
      <c r="E20" s="0" t="n">
        <f aca="false">(A20-C$23)^2</f>
        <v>1293.30506742278</v>
      </c>
    </row>
    <row r="21" customFormat="false" ht="12.8" hidden="false" customHeight="false" outlineLevel="0" collapsed="false">
      <c r="A21" s="0" t="n">
        <f aca="false">A20+10</f>
        <v>85</v>
      </c>
      <c r="B21" s="0" t="n">
        <f aca="false">B10</f>
        <v>4230000</v>
      </c>
      <c r="C21" s="0" t="n">
        <f aca="false">C10</f>
        <v>6561000</v>
      </c>
      <c r="D21" s="0" t="n">
        <f aca="false">(A21-B$23)^2</f>
        <v>2292.26700137277</v>
      </c>
      <c r="E21" s="0" t="n">
        <f aca="false">(A21-C$23)^2</f>
        <v>2112.55608547497</v>
      </c>
    </row>
    <row r="22" customFormat="false" ht="12.8" hidden="false" customHeight="false" outlineLevel="0" collapsed="false">
      <c r="A22" s="0" t="s">
        <v>17</v>
      </c>
      <c r="B22" s="0" t="n">
        <f aca="false">SUM(B13:B21)</f>
        <v>151175000</v>
      </c>
      <c r="C22" s="0" t="n">
        <f aca="false">SUM(C13:C21)</f>
        <v>157654000</v>
      </c>
    </row>
    <row r="23" customFormat="false" ht="12.8" hidden="false" customHeight="false" outlineLevel="0" collapsed="false">
      <c r="A23" s="0" t="s">
        <v>18</v>
      </c>
      <c r="B23" s="0" t="n">
        <f aca="false">SUMPRODUCT($A$13:$A$21,B13:B21)/B22</f>
        <v>37.1223747312717</v>
      </c>
      <c r="C23" s="0" t="n">
        <f aca="false">SUMPRODUCT($A$13:$A$21,C13:C21)/C22</f>
        <v>39.0374490973905</v>
      </c>
    </row>
    <row r="24" customFormat="false" ht="12.8" hidden="false" customHeight="false" outlineLevel="0" collapsed="false">
      <c r="A24" s="0" t="s">
        <v>19</v>
      </c>
      <c r="B24" s="0" t="n">
        <f aca="false">SQRT(SUMPRODUCT(D13:D21,B13:B21)/(B22))</f>
        <v>22.288743061382</v>
      </c>
      <c r="C24" s="0" t="n">
        <f aca="false">SQRT(SUMPRODUCT(E13:E21,C13:C21)/(C22))</f>
        <v>22.9258489088443</v>
      </c>
    </row>
    <row r="26" customFormat="false" ht="12.8" hidden="false" customHeight="false" outlineLevel="0" collapsed="false">
      <c r="A26" s="0" t="s">
        <v>20</v>
      </c>
      <c r="B26" s="0" t="n">
        <f aca="false">ROUND(B23,1)</f>
        <v>37.1</v>
      </c>
      <c r="C26" s="0" t="n">
        <f aca="false">ROUND(C23,1)</f>
        <v>39</v>
      </c>
    </row>
    <row r="27" customFormat="false" ht="12.8" hidden="false" customHeight="false" outlineLevel="0" collapsed="false">
      <c r="A27" s="0" t="s">
        <v>21</v>
      </c>
      <c r="B27" s="0" t="n">
        <f aca="false">ROUND(B24,1)</f>
        <v>22.3</v>
      </c>
      <c r="C27" s="0" t="n">
        <f aca="false">ROUND(C24,1)</f>
        <v>22.9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2021-05-14T15:42:41Z</dcterms:created>
  <dc:creator/>
  <dc:description/>
  <dc:language>en-US</dc:language>
  <cp:lastModifiedBy/>
  <dcterms:modified xsi:type="dcterms:W3CDTF">2021-05-14T16:41:50Z</dcterms:modified>
  <cp:revision>3</cp:revision>
  <dc:subject/>
  <dc:title/>
</cp:coreProperties>
</file>