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definedNames>
    <definedName function="true" hidden="false" name="CEILING" vbProcedure="true"/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<sst xmlns="http://schemas.openxmlformats.org/spreadsheetml/2006/main" count="14" uniqueCount="9">
  <si>
    <t xml:space="preserve">E=margin of error</t>
  </si>
  <si>
    <t xml:space="preserve">alpha</t>
  </si>
  <si>
    <t xml:space="preserve">( a )</t>
  </si>
  <si>
    <t xml:space="preserve">n=sample size=?</t>
  </si>
  <si>
    <t xml:space="preserve">p_hat</t>
  </si>
  <si>
    <t xml:space="preserve">z_(alpha/2)</t>
  </si>
  <si>
    <r>
      <rPr>
        <sz val="10"/>
        <rFont val="Arial"/>
        <family val="2"/>
      </rPr>
      <t xml:space="preserve">-NORM.INV(</t>
    </r>
    <r>
      <rPr>
        <sz val="10"/>
        <color rgb="FF0000FF"/>
        <rFont val="Arial"/>
        <family val="2"/>
      </rPr>
      <t xml:space="preserve">$B$2</t>
    </r>
    <r>
      <rPr>
        <sz val="10"/>
        <rFont val="Arial"/>
        <family val="2"/>
      </rPr>
      <t xml:space="preserve">/2,0,1)</t>
    </r>
  </si>
  <si>
    <t xml:space="preserve">n=p_hat*(1-p_hat)*(z_(alpha/2)/E)^2</t>
  </si>
  <si>
    <t xml:space="preserve">( b 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</si>
</sst>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8" activeCellId="0" sqref="I18"/>
    </sheetView>
  </sheetViews>
  <sheetFormatPr defaultRowHeight="12.8"/>
  <cols>
    <col collapsed="false" hidden="false" max="1" min="1" style="0" width="30.5357142857143"/>
    <col collapsed="false" hidden="false" max="2" min="2" style="0" width="20.8622448979592"/>
    <col collapsed="false" hidden="false" max="3" min="3" style="0" width="12.7244897959184"/>
    <col collapsed="false" hidden="false" max="1025" min="4" style="0" width="11.5204081632653"/>
  </cols>
  <sheetData>
    <row r="1" customFormat="false" ht="12.8" hidden="false" customHeight="false" outlineLevel="0" collapsed="false">
      <c r="A1" s="0" t="s">
        <v>0</v>
      </c>
      <c r="B1" s="0" t="n">
        <v>0.03</v>
      </c>
    </row>
    <row r="2" customFormat="false" ht="12.8" hidden="false" customHeight="false" outlineLevel="0" collapsed="false">
      <c r="A2" s="0" t="s">
        <v>1</v>
      </c>
      <c r="B2" s="0" t="n">
        <v>0.01</v>
      </c>
    </row>
    <row r="4" customFormat="false" ht="12.8" hidden="false" customHeight="false" outlineLevel="0" collapsed="false">
      <c r="A4" s="0" t="s">
        <v>2</v>
      </c>
    </row>
    <row r="5" customFormat="false" ht="12.8" hidden="false" customHeight="false" outlineLevel="0" collapsed="false">
      <c r="A5" s="0" t="s">
        <v>3</v>
      </c>
    </row>
    <row r="6" customFormat="false" ht="12.8" hidden="false" customHeight="false" outlineLevel="0" collapsed="false">
      <c r="A6" s="0" t="s">
        <v>4</v>
      </c>
      <c r="B6" s="0" t="n">
        <f aca="false">0.635</f>
        <v>0.635</v>
      </c>
    </row>
    <row r="7" customFormat="false" ht="13.05" hidden="false" customHeight="false" outlineLevel="0" collapsed="false">
      <c r="A7" s="0" t="s">
        <v>5</v>
      </c>
      <c r="B7" s="0" t="s">
        <v>6</v>
      </c>
      <c r="C7" s="0" t="n">
        <f aca="false">-_xlfn.NORM.INV($B$2/2,0,1)</f>
        <v>2.5758293035489</v>
      </c>
    </row>
    <row r="8" customFormat="false" ht="12.8" hidden="false" customHeight="false" outlineLevel="0" collapsed="false">
      <c r="A8" s="0" t="s">
        <v>7</v>
      </c>
      <c r="B8" s="0" t="n">
        <f aca="false">B6*(1-B6)*(C7/$B$1)^2</f>
        <v>1708.67017744632</v>
      </c>
      <c r="C8" s="0" t="n">
        <f aca="false">_xlfn.CEILING.MATH(B8)</f>
        <v>1709</v>
      </c>
    </row>
    <row r="10" customFormat="false" ht="12.8" hidden="false" customHeight="false" outlineLevel="0" collapsed="false">
      <c r="A10" s="0" t="s">
        <v>8</v>
      </c>
    </row>
    <row r="11" customFormat="false" ht="12.8" hidden="false" customHeight="false" outlineLevel="0" collapsed="false">
      <c r="A11" s="0" t="s">
        <v>3</v>
      </c>
    </row>
    <row r="12" customFormat="false" ht="12.8" hidden="false" customHeight="false" outlineLevel="0" collapsed="false">
      <c r="A12" s="0" t="s">
        <v>4</v>
      </c>
      <c r="B12" s="0" t="n">
        <v>0.5</v>
      </c>
    </row>
    <row r="13" customFormat="false" ht="13.05" hidden="false" customHeight="false" outlineLevel="0" collapsed="false">
      <c r="A13" s="0" t="s">
        <v>5</v>
      </c>
      <c r="B13" s="0" t="s">
        <v>6</v>
      </c>
      <c r="C13" s="0" t="n">
        <f aca="false">-_xlfn.NORM.INV($B$2/2,0,1)</f>
        <v>2.5758293035489</v>
      </c>
    </row>
    <row r="14" customFormat="false" ht="12.8" hidden="false" customHeight="false" outlineLevel="0" collapsed="false">
      <c r="A14" s="0" t="s">
        <v>7</v>
      </c>
      <c r="B14" s="0" t="n">
        <f aca="false">B12*(1-B12)*(C13/$B$1)^2</f>
        <v>1843.026833617</v>
      </c>
      <c r="C14" s="0" t="n">
        <f aca="false">_xlfn.CEILING.MATH(B14)</f>
        <v>1844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2021-06-03T16:15:56Z</dcterms:created>
  <dc:creator/>
  <dc:description/>
  <dc:language>en-US</dc:language>
  <cp:lastModifiedBy/>
  <dcterms:modified xsi:type="dcterms:W3CDTF">2021-06-03T16:32:25Z</dcterms:modified>
  <cp:revision>1</cp:revision>
  <dc:subject/>
  <dc:title/>
</cp:coreProperties>
</file>