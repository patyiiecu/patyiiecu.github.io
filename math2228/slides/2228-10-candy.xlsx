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<sst xmlns="http://schemas.openxmlformats.org/spreadsheetml/2006/main" count="16" uniqueCount="16">
  <si>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Column 1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</si>
  <si>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</si>
  <si>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</si>
  <si>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</si>
  <si>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</si>
  <si>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 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</si>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</sst>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Weights of candy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Sheet1!$F$1:$F$10</c:f>
              <c:strCache>
                <c:ptCount val="10"/>
                <c:pt idx="0">
                  <c:v>0.78</c:v>
                </c:pt>
                <c:pt idx="1">
                  <c:v>0.8</c:v>
                </c:pt>
                <c:pt idx="2">
                  <c:v>0.82</c:v>
                </c:pt>
                <c:pt idx="3">
                  <c:v>0.84</c:v>
                </c:pt>
                <c:pt idx="4">
                  <c:v>0.86</c:v>
                </c:pt>
                <c:pt idx="5">
                  <c:v>0.88</c:v>
                </c:pt>
                <c:pt idx="6">
                  <c:v>0.9</c:v>
                </c:pt>
                <c:pt idx="7">
                  <c:v>0.92</c:v>
                </c:pt>
                <c:pt idx="8">
                  <c:v>0.94</c:v>
                </c:pt>
                <c:pt idx="9">
                  <c:v>0.96</c:v>
                </c:pt>
              </c:strCache>
            </c:strRef>
          </c:cat>
          <c:val>
            <c:numRef>
              <c:f>Sheet1!$G$1:$G$10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35967125"/>
        <c:axId val="81612681"/>
      </c:barChart>
      <c:catAx>
        <c:axId val="359671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in gram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1612681"/>
        <c:crosses val="autoZero"/>
        <c:auto val="1"/>
        <c:lblAlgn val="ctr"/>
        <c:lblOffset val="100"/>
      </c:catAx>
      <c:valAx>
        <c:axId val="8161268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596712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36360</xdr:colOff>
      <xdr:row>0</xdr:row>
      <xdr:rowOff>36000</xdr:rowOff>
    </xdr:from>
    <xdr:to>
      <xdr:col>14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572580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8" activeCellId="0" sqref="C38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0.87</v>
      </c>
      <c r="C1" s="1" t="s">
        <v>0</v>
      </c>
      <c r="E1" s="0" t="n">
        <v>0.78</v>
      </c>
      <c r="F1" s="0" t="n">
        <v>0.78</v>
      </c>
      <c r="G1" s="0" t="n">
        <f aca="false" t="array" ref="G1:G10">FREQUENCY(A1:A50,F1:F10)</f>
        <v>0</v>
      </c>
    </row>
    <row r="2" customFormat="false" ht="12.8" hidden="false" customHeight="false" outlineLevel="0" collapsed="false">
      <c r="A2" s="0" t="n">
        <v>0.88</v>
      </c>
      <c r="B2" s="0" t="s">
        <v>1</v>
      </c>
      <c r="C2" s="0" t="n">
        <f aca="false">AVERAGE($A$1:$A$50)</f>
        <v>0.8746</v>
      </c>
      <c r="E2" s="0" t="n">
        <v>0.96</v>
      </c>
      <c r="F2" s="0" t="n">
        <f aca="false">F1+0.02</f>
        <v>0.8</v>
      </c>
      <c r="G2" s="0" t="n">
        <v>1</v>
      </c>
    </row>
    <row r="3" customFormat="false" ht="12.8" hidden="false" customHeight="false" outlineLevel="0" collapsed="false">
      <c r="A3" s="0" t="n">
        <v>0.82</v>
      </c>
      <c r="B3" s="0" t="s">
        <v>2</v>
      </c>
      <c r="C3" s="0" t="n">
        <f aca="false">SQRT(VAR($A$1:$A$50)/COUNT($A$1:$A$50))</f>
        <v>0.00503222270037033</v>
      </c>
      <c r="F3" s="0" t="n">
        <f aca="false">F2+0.02</f>
        <v>0.82</v>
      </c>
      <c r="G3" s="0" t="n">
        <v>3</v>
      </c>
    </row>
    <row r="4" customFormat="false" ht="12.8" hidden="false" customHeight="false" outlineLevel="0" collapsed="false">
      <c r="A4" s="0" t="n">
        <v>0.9</v>
      </c>
      <c r="B4" s="0" t="s">
        <v>3</v>
      </c>
      <c r="C4" s="0" t="n">
        <f aca="false">MODE($A$1:$A$50)</f>
        <v>0.88</v>
      </c>
      <c r="F4" s="0" t="n">
        <f aca="false">F3+0.02</f>
        <v>0.84</v>
      </c>
      <c r="G4" s="0" t="n">
        <v>8</v>
      </c>
    </row>
    <row r="5" customFormat="false" ht="12.8" hidden="false" customHeight="false" outlineLevel="0" collapsed="false">
      <c r="A5" s="0" t="n">
        <v>0.9</v>
      </c>
      <c r="B5" s="0" t="s">
        <v>4</v>
      </c>
      <c r="C5" s="0" t="n">
        <f aca="false">MEDIAN($A$1:$A$50)</f>
        <v>0.875</v>
      </c>
      <c r="F5" s="0" t="n">
        <f aca="false">F4+0.02</f>
        <v>0.86</v>
      </c>
      <c r="G5" s="0" t="n">
        <v>8</v>
      </c>
    </row>
    <row r="6" customFormat="false" ht="12.8" hidden="false" customHeight="false" outlineLevel="0" collapsed="false">
      <c r="A6" s="0" t="n">
        <v>0.84</v>
      </c>
      <c r="B6" s="0" t="s">
        <v>5</v>
      </c>
      <c r="C6" s="0" t="n">
        <f aca="false">QUARTILE($A$1:$A$50, 1)</f>
        <v>0.85</v>
      </c>
      <c r="F6" s="0" t="n">
        <f aca="false">F5+0.02</f>
        <v>0.88</v>
      </c>
      <c r="G6" s="0" t="n">
        <v>12</v>
      </c>
    </row>
    <row r="7" customFormat="false" ht="12.8" hidden="false" customHeight="false" outlineLevel="0" collapsed="false">
      <c r="A7" s="0" t="n">
        <v>0.84</v>
      </c>
      <c r="B7" s="0" t="s">
        <v>6</v>
      </c>
      <c r="C7" s="0" t="n">
        <f aca="false">QUARTILE($A$1:$A$50, 3)</f>
        <v>0.9</v>
      </c>
      <c r="F7" s="0" t="n">
        <f aca="false">F6+0.02</f>
        <v>0.9</v>
      </c>
      <c r="G7" s="0" t="n">
        <v>7</v>
      </c>
    </row>
    <row r="8" customFormat="false" ht="12.8" hidden="false" customHeight="false" outlineLevel="0" collapsed="false">
      <c r="A8" s="0" t="n">
        <v>0.91</v>
      </c>
      <c r="B8" s="0" t="s">
        <v>7</v>
      </c>
      <c r="C8" s="0" t="n">
        <f aca="false">VAR($A$1:$A$50)</f>
        <v>0.00126616326530612</v>
      </c>
      <c r="F8" s="0" t="n">
        <f aca="false">F7+0.02</f>
        <v>0.92</v>
      </c>
      <c r="G8" s="0" t="n">
        <v>6</v>
      </c>
    </row>
    <row r="9" customFormat="false" ht="12.8" hidden="false" customHeight="false" outlineLevel="0" collapsed="false">
      <c r="A9" s="0" t="n">
        <v>0.94</v>
      </c>
      <c r="B9" s="0" t="s">
        <v>8</v>
      </c>
      <c r="C9" s="0" t="n">
        <f aca="false">STDEV($A$1:$A$50)</f>
        <v>0.0355831879587274</v>
      </c>
      <c r="F9" s="0" t="n">
        <f aca="false">F8+0.02</f>
        <v>0.94</v>
      </c>
      <c r="G9" s="0" t="n">
        <v>4</v>
      </c>
    </row>
    <row r="10" customFormat="false" ht="12.8" hidden="false" customHeight="false" outlineLevel="0" collapsed="false">
      <c r="A10" s="0" t="n">
        <v>0.86</v>
      </c>
      <c r="B10" s="0" t="s">
        <v>9</v>
      </c>
      <c r="C10" s="0" t="n">
        <f aca="false">KURT($A$1:$A$50)</f>
        <v>-0.361827470391636</v>
      </c>
      <c r="F10" s="0" t="n">
        <f aca="false">F9+0.02</f>
        <v>0.96</v>
      </c>
      <c r="G10" s="0" t="n">
        <v>1</v>
      </c>
    </row>
    <row r="11" customFormat="false" ht="12.8" hidden="false" customHeight="false" outlineLevel="0" collapsed="false">
      <c r="A11" s="0" t="n">
        <v>0.86</v>
      </c>
      <c r="B11" s="0" t="s">
        <v>10</v>
      </c>
      <c r="C11" s="0" t="n">
        <f aca="false">SKEW($A$1:$A$50)</f>
        <v>-0.0302198877121876</v>
      </c>
    </row>
    <row r="12" customFormat="false" ht="12.8" hidden="false" customHeight="false" outlineLevel="0" collapsed="false">
      <c r="A12" s="0" t="n">
        <v>0.86</v>
      </c>
      <c r="B12" s="0" t="s">
        <v>11</v>
      </c>
      <c r="C12" s="0" t="n">
        <f aca="false">MAX($A$1:$A$50)-MIN($A$1:$A$50)</f>
        <v>0.16</v>
      </c>
    </row>
    <row r="13" customFormat="false" ht="12.8" hidden="false" customHeight="false" outlineLevel="0" collapsed="false">
      <c r="A13" s="0" t="n">
        <v>0.88</v>
      </c>
      <c r="B13" s="0" t="s">
        <v>12</v>
      </c>
      <c r="C13" s="0" t="n">
        <f aca="false">MIN($A$1:$A$50)</f>
        <v>0.79</v>
      </c>
    </row>
    <row r="14" customFormat="false" ht="12.8" hidden="false" customHeight="false" outlineLevel="0" collapsed="false">
      <c r="A14" s="0" t="n">
        <v>0.87</v>
      </c>
      <c r="B14" s="0" t="s">
        <v>13</v>
      </c>
      <c r="C14" s="0" t="n">
        <f aca="false">MAX($A$1:$A$50)</f>
        <v>0.95</v>
      </c>
    </row>
    <row r="15" customFormat="false" ht="12.8" hidden="false" customHeight="false" outlineLevel="0" collapsed="false">
      <c r="A15" s="0" t="n">
        <v>0.89</v>
      </c>
      <c r="B15" s="0" t="s">
        <v>14</v>
      </c>
      <c r="C15" s="0" t="n">
        <f aca="false">SUM($A$1:$A$50)</f>
        <v>43.73</v>
      </c>
    </row>
    <row r="16" customFormat="false" ht="12.8" hidden="false" customHeight="false" outlineLevel="0" collapsed="false">
      <c r="A16" s="0" t="n">
        <v>0.91</v>
      </c>
      <c r="B16" s="0" t="s">
        <v>15</v>
      </c>
      <c r="C16" s="0" t="n">
        <f aca="false">COUNT($A$1:$A$50)</f>
        <v>50</v>
      </c>
    </row>
    <row r="17" customFormat="false" ht="12.8" hidden="false" customHeight="false" outlineLevel="0" collapsed="false">
      <c r="A17" s="0" t="n">
        <v>0.86</v>
      </c>
    </row>
    <row r="18" customFormat="false" ht="12.8" hidden="false" customHeight="false" outlineLevel="0" collapsed="false">
      <c r="A18" s="0" t="n">
        <v>0.87</v>
      </c>
    </row>
    <row r="19" customFormat="false" ht="12.8" hidden="false" customHeight="false" outlineLevel="0" collapsed="false">
      <c r="A19" s="0" t="n">
        <v>0.93</v>
      </c>
    </row>
    <row r="20" customFormat="false" ht="12.8" hidden="false" customHeight="false" outlineLevel="0" collapsed="false">
      <c r="A20" s="0" t="n">
        <v>0.88</v>
      </c>
    </row>
    <row r="21" customFormat="false" ht="12.8" hidden="false" customHeight="false" outlineLevel="0" collapsed="false">
      <c r="A21" s="0" t="n">
        <v>0.83</v>
      </c>
    </row>
    <row r="22" customFormat="false" ht="12.8" hidden="false" customHeight="false" outlineLevel="0" collapsed="false">
      <c r="A22" s="0" t="n">
        <v>0.95</v>
      </c>
    </row>
    <row r="23" customFormat="false" ht="12.8" hidden="false" customHeight="false" outlineLevel="0" collapsed="false">
      <c r="A23" s="0" t="n">
        <v>0.87</v>
      </c>
    </row>
    <row r="24" customFormat="false" ht="12.8" hidden="false" customHeight="false" outlineLevel="0" collapsed="false">
      <c r="A24" s="0" t="n">
        <v>0.93</v>
      </c>
    </row>
    <row r="25" customFormat="false" ht="12.8" hidden="false" customHeight="false" outlineLevel="0" collapsed="false">
      <c r="A25" s="0" t="n">
        <v>0.91</v>
      </c>
    </row>
    <row r="26" customFormat="false" ht="12.8" hidden="false" customHeight="false" outlineLevel="0" collapsed="false">
      <c r="A26" s="0" t="n">
        <v>0.85</v>
      </c>
    </row>
    <row r="27" customFormat="false" ht="12.8" hidden="false" customHeight="false" outlineLevel="0" collapsed="false">
      <c r="A27" s="0" t="n">
        <v>0.91</v>
      </c>
    </row>
    <row r="28" customFormat="false" ht="12.8" hidden="false" customHeight="false" outlineLevel="0" collapsed="false">
      <c r="A28" s="0" t="n">
        <v>0.91</v>
      </c>
    </row>
    <row r="29" customFormat="false" ht="12.8" hidden="false" customHeight="false" outlineLevel="0" collapsed="false">
      <c r="A29" s="0" t="n">
        <v>0.86</v>
      </c>
    </row>
    <row r="30" customFormat="false" ht="12.8" hidden="false" customHeight="false" outlineLevel="0" collapsed="false">
      <c r="A30" s="0" t="n">
        <v>0.89</v>
      </c>
    </row>
    <row r="31" customFormat="false" ht="12.8" hidden="false" customHeight="false" outlineLevel="0" collapsed="false">
      <c r="A31" s="0" t="n">
        <v>0.87</v>
      </c>
    </row>
    <row r="32" customFormat="false" ht="12.8" hidden="false" customHeight="false" outlineLevel="0" collapsed="false">
      <c r="A32" s="0" t="n">
        <v>0.84</v>
      </c>
    </row>
    <row r="33" customFormat="false" ht="12.8" hidden="false" customHeight="false" outlineLevel="0" collapsed="false">
      <c r="A33" s="0" t="n">
        <v>0.88</v>
      </c>
    </row>
    <row r="34" customFormat="false" ht="12.8" hidden="false" customHeight="false" outlineLevel="0" collapsed="false">
      <c r="A34" s="0" t="n">
        <v>0.88</v>
      </c>
    </row>
    <row r="35" customFormat="false" ht="12.8" hidden="false" customHeight="false" outlineLevel="0" collapsed="false">
      <c r="A35" s="0" t="n">
        <v>0.89</v>
      </c>
    </row>
    <row r="36" customFormat="false" ht="12.8" hidden="false" customHeight="false" outlineLevel="0" collapsed="false">
      <c r="A36" s="0" t="n">
        <v>0.79</v>
      </c>
    </row>
    <row r="37" customFormat="false" ht="12.8" hidden="false" customHeight="false" outlineLevel="0" collapsed="false">
      <c r="A37" s="0" t="n">
        <v>0.82</v>
      </c>
    </row>
    <row r="38" customFormat="false" ht="12.8" hidden="false" customHeight="false" outlineLevel="0" collapsed="false">
      <c r="A38" s="0" t="n">
        <v>0.83</v>
      </c>
    </row>
    <row r="39" customFormat="false" ht="12.8" hidden="false" customHeight="false" outlineLevel="0" collapsed="false">
      <c r="A39" s="0" t="n">
        <v>0.9</v>
      </c>
    </row>
    <row r="40" customFormat="false" ht="12.8" hidden="false" customHeight="false" outlineLevel="0" collapsed="false">
      <c r="A40" s="0" t="n">
        <v>0.88</v>
      </c>
    </row>
    <row r="41" customFormat="false" ht="12.8" hidden="false" customHeight="false" outlineLevel="0" collapsed="false">
      <c r="A41" s="0" t="n">
        <v>0.84</v>
      </c>
    </row>
    <row r="42" customFormat="false" ht="12.8" hidden="false" customHeight="false" outlineLevel="0" collapsed="false">
      <c r="A42" s="0" t="n">
        <v>0.93</v>
      </c>
    </row>
    <row r="43" customFormat="false" ht="12.8" hidden="false" customHeight="false" outlineLevel="0" collapsed="false">
      <c r="A43" s="0" t="n">
        <v>0.81</v>
      </c>
    </row>
    <row r="44" customFormat="false" ht="12.8" hidden="false" customHeight="false" outlineLevel="0" collapsed="false">
      <c r="A44" s="0" t="n">
        <v>0.9</v>
      </c>
    </row>
    <row r="45" customFormat="false" ht="12.8" hidden="false" customHeight="false" outlineLevel="0" collapsed="false">
      <c r="A45" s="0" t="n">
        <v>0.88</v>
      </c>
    </row>
    <row r="46" customFormat="false" ht="12.8" hidden="false" customHeight="false" outlineLevel="0" collapsed="false">
      <c r="A46" s="0" t="n">
        <v>0.92</v>
      </c>
    </row>
    <row r="47" customFormat="false" ht="12.8" hidden="false" customHeight="false" outlineLevel="0" collapsed="false">
      <c r="A47" s="0" t="n">
        <v>0.85</v>
      </c>
    </row>
    <row r="48" customFormat="false" ht="12.8" hidden="false" customHeight="false" outlineLevel="0" collapsed="false">
      <c r="A48" s="0" t="n">
        <v>0.84</v>
      </c>
    </row>
    <row r="49" customFormat="false" ht="12.8" hidden="false" customHeight="false" outlineLevel="0" collapsed="false">
      <c r="A49" s="0" t="n">
        <v>0.84</v>
      </c>
    </row>
    <row r="50" customFormat="false" ht="12.8" hidden="false" customHeight="false" outlineLevel="0" collapsed="false">
      <c r="A50" s="0" t="n">
        <v>0.86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2021-05-13T14:59:48Z</dcterms:created>
  <dc:creator/>
  <dc:description/>
  <dc:language>en-US</dc:language>
  <cp:lastModifiedBy/>
  <dcterms:modified xsi:type="dcterms:W3CDTF">2021-05-13T15:41:24Z</dcterms:modified>
  <cp:revision>1</cp:revision>
  <dc:subject/>
  <dc:title/>
</cp:coreProperties>
</file>