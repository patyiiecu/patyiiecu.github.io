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<sst xmlns="http://schemas.openxmlformats.org/spreadsheetml/2006/main" count="48" uniqueCount="23">
  <si>
    <t xml:space="preserve">Round</t>
  </si>
  <si>
    <t xml:space="preserve">Car 1</t>
  </si>
  <si>
    <t xml:space="preserve">Car 2</t>
  </si>
  <si>
    <t xml:space="preserve">Column 1</t>
  </si>
  <si>
    <t xml:space="preserve">Column 2</t>
  </si>
  <si>
    <t xml:space="preserve">Mean</t>
  </si>
  <si>
    <t xml:space="preserve">Standard Error</t>
  </si>
  <si>
    <t xml:space="preserve">Mode</t>
  </si>
  <si>
    <t xml:space="preserve">Median</t>
  </si>
  <si>
    <t xml:space="preserve">First Quartile </t>
  </si>
  <si>
    <t xml:space="preserve">cutoffs</t>
  </si>
  <si>
    <t xml:space="preserve">Frequency 1</t>
  </si>
  <si>
    <t xml:space="preserve">Frequency 2</t>
  </si>
  <si>
    <t xml:space="preserve">Third Quartile</t>
  </si>
  <si>
    <t xml:space="preserve">Variance</t>
  </si>
  <si>
    <t xml:space="preserve">Standard Deviation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</si>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</sst>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Miles driven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Car 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228</c:v>
                </c:pt>
                <c:pt idx="1">
                  <c:v>223</c:v>
                </c:pt>
                <c:pt idx="2">
                  <c:v>178</c:v>
                </c:pt>
                <c:pt idx="3">
                  <c:v>220</c:v>
                </c:pt>
                <c:pt idx="4">
                  <c:v>220</c:v>
                </c:pt>
                <c:pt idx="5">
                  <c:v>233</c:v>
                </c:pt>
                <c:pt idx="6">
                  <c:v>233</c:v>
                </c:pt>
                <c:pt idx="7">
                  <c:v>271</c:v>
                </c:pt>
                <c:pt idx="8">
                  <c:v>219</c:v>
                </c:pt>
                <c:pt idx="9">
                  <c:v>223</c:v>
                </c:pt>
                <c:pt idx="10">
                  <c:v>217</c:v>
                </c:pt>
                <c:pt idx="11">
                  <c:v>214</c:v>
                </c:pt>
                <c:pt idx="12">
                  <c:v>189</c:v>
                </c:pt>
                <c:pt idx="13">
                  <c:v>236</c:v>
                </c:pt>
                <c:pt idx="14">
                  <c:v>248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Car 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277</c:v>
                </c:pt>
                <c:pt idx="1">
                  <c:v>164</c:v>
                </c:pt>
                <c:pt idx="2">
                  <c:v>326</c:v>
                </c:pt>
                <c:pt idx="3">
                  <c:v>215</c:v>
                </c:pt>
                <c:pt idx="4">
                  <c:v>259</c:v>
                </c:pt>
                <c:pt idx="5">
                  <c:v>217</c:v>
                </c:pt>
                <c:pt idx="6">
                  <c:v>321</c:v>
                </c:pt>
                <c:pt idx="7">
                  <c:v>263</c:v>
                </c:pt>
                <c:pt idx="8">
                  <c:v>160</c:v>
                </c:pt>
                <c:pt idx="9">
                  <c:v>257</c:v>
                </c:pt>
                <c:pt idx="10">
                  <c:v>239</c:v>
                </c:pt>
                <c:pt idx="11">
                  <c:v>230</c:v>
                </c:pt>
                <c:pt idx="12">
                  <c:v>183</c:v>
                </c:pt>
                <c:pt idx="13">
                  <c:v>217</c:v>
                </c:pt>
                <c:pt idx="14">
                  <c:v>230</c:v>
                </c:pt>
              </c:numCache>
            </c:numRef>
          </c:yVal>
          <c:smooth val="0"/>
        </c:ser>
        <c:axId val="46484879"/>
        <c:axId val="9030596"/>
      </c:scatterChart>
      <c:valAx>
        <c:axId val="464848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Round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030596"/>
        <c:crosses val="autoZero"/>
        <c:crossBetween val="midCat"/>
      </c:valAx>
      <c:valAx>
        <c:axId val="903059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648487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Frequency of miles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Sheet1!$G$25:$G$34</c:f>
              <c:strCache>
                <c:ptCount val="10"/>
                <c:pt idx="0">
                  <c:v>155</c:v>
                </c:pt>
                <c:pt idx="1">
                  <c:v>180</c:v>
                </c:pt>
                <c:pt idx="2">
                  <c:v>200</c:v>
                </c:pt>
                <c:pt idx="3">
                  <c:v>220</c:v>
                </c:pt>
                <c:pt idx="4">
                  <c:v>240</c:v>
                </c:pt>
                <c:pt idx="5">
                  <c:v>260</c:v>
                </c:pt>
                <c:pt idx="6">
                  <c:v>280</c:v>
                </c:pt>
                <c:pt idx="7">
                  <c:v>300</c:v>
                </c:pt>
                <c:pt idx="8">
                  <c:v>320</c:v>
                </c:pt>
                <c:pt idx="9">
                  <c:v>340</c:v>
                </c:pt>
              </c:strCache>
            </c:strRef>
          </c:cat>
          <c:val>
            <c:numRef>
              <c:f>Sheet1!$H$25:$H$34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Sheet1!$G$25:$G$34</c:f>
              <c:strCache>
                <c:ptCount val="10"/>
                <c:pt idx="0">
                  <c:v>155</c:v>
                </c:pt>
                <c:pt idx="1">
                  <c:v>180</c:v>
                </c:pt>
                <c:pt idx="2">
                  <c:v>200</c:v>
                </c:pt>
                <c:pt idx="3">
                  <c:v>220</c:v>
                </c:pt>
                <c:pt idx="4">
                  <c:v>240</c:v>
                </c:pt>
                <c:pt idx="5">
                  <c:v>260</c:v>
                </c:pt>
                <c:pt idx="6">
                  <c:v>280</c:v>
                </c:pt>
                <c:pt idx="7">
                  <c:v>300</c:v>
                </c:pt>
                <c:pt idx="8">
                  <c:v>320</c:v>
                </c:pt>
                <c:pt idx="9">
                  <c:v>340</c:v>
                </c:pt>
              </c:strCache>
            </c:strRef>
          </c:cat>
          <c:val>
            <c:numRef>
              <c:f>Sheet1!$I$25:$I$34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</c:ser>
        <c:gapWidth val="100"/>
        <c:overlap val="0"/>
        <c:axId val="61040243"/>
        <c:axId val="12308950"/>
      </c:barChart>
      <c:catAx>
        <c:axId val="610402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2308950"/>
        <c:crosses val="autoZero"/>
        <c:auto val="1"/>
        <c:lblAlgn val="ctr"/>
        <c:lblOffset val="100"/>
      </c:catAx>
      <c:valAx>
        <c:axId val="1230895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104024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36000</xdr:rowOff>
    </xdr:from>
    <xdr:to>
      <xdr:col>10</xdr:col>
      <xdr:colOff>106560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28270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36360</xdr:colOff>
      <xdr:row>23</xdr:row>
      <xdr:rowOff>36000</xdr:rowOff>
    </xdr:from>
    <xdr:to>
      <xdr:col>16</xdr:col>
      <xdr:colOff>106200</xdr:colOff>
      <xdr:row>43</xdr:row>
      <xdr:rowOff>24480</xdr:rowOff>
    </xdr:to>
    <xdr:graphicFrame>
      <xdr:nvGraphicFramePr>
        <xdr:cNvPr id="1" name=""/>
        <xdr:cNvGraphicFramePr/>
      </xdr:nvGraphicFramePr>
      <xdr:xfrm>
        <a:off x="7703640" y="3774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6.515306122449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228</v>
      </c>
      <c r="C2" s="0" t="n">
        <v>277</v>
      </c>
    </row>
    <row r="3" customFormat="false" ht="12.8" hidden="false" customHeight="false" outlineLevel="0" collapsed="false">
      <c r="A3" s="0" t="n">
        <v>2</v>
      </c>
      <c r="B3" s="0" t="n">
        <v>223</v>
      </c>
      <c r="C3" s="0" t="n">
        <v>164</v>
      </c>
    </row>
    <row r="4" customFormat="false" ht="12.8" hidden="false" customHeight="false" outlineLevel="0" collapsed="false">
      <c r="A4" s="0" t="n">
        <v>3</v>
      </c>
      <c r="B4" s="0" t="n">
        <v>178</v>
      </c>
      <c r="C4" s="0" t="n">
        <v>326</v>
      </c>
    </row>
    <row r="5" customFormat="false" ht="12.8" hidden="false" customHeight="false" outlineLevel="0" collapsed="false">
      <c r="A5" s="0" t="n">
        <v>4</v>
      </c>
      <c r="B5" s="0" t="n">
        <v>220</v>
      </c>
      <c r="C5" s="0" t="n">
        <v>215</v>
      </c>
    </row>
    <row r="6" customFormat="false" ht="12.8" hidden="false" customHeight="false" outlineLevel="0" collapsed="false">
      <c r="A6" s="0" t="n">
        <v>5</v>
      </c>
      <c r="B6" s="0" t="n">
        <v>220</v>
      </c>
      <c r="C6" s="0" t="n">
        <v>259</v>
      </c>
    </row>
    <row r="7" customFormat="false" ht="12.8" hidden="false" customHeight="false" outlineLevel="0" collapsed="false">
      <c r="A7" s="0" t="n">
        <v>6</v>
      </c>
      <c r="B7" s="0" t="n">
        <v>233</v>
      </c>
      <c r="C7" s="0" t="n">
        <v>217</v>
      </c>
    </row>
    <row r="8" customFormat="false" ht="12.8" hidden="false" customHeight="false" outlineLevel="0" collapsed="false">
      <c r="A8" s="0" t="n">
        <v>7</v>
      </c>
      <c r="B8" s="0" t="n">
        <v>233</v>
      </c>
      <c r="C8" s="0" t="n">
        <v>321</v>
      </c>
    </row>
    <row r="9" customFormat="false" ht="12.8" hidden="false" customHeight="false" outlineLevel="0" collapsed="false">
      <c r="A9" s="0" t="n">
        <v>8</v>
      </c>
      <c r="B9" s="0" t="n">
        <v>271</v>
      </c>
      <c r="C9" s="0" t="n">
        <v>263</v>
      </c>
    </row>
    <row r="10" customFormat="false" ht="12.8" hidden="false" customHeight="false" outlineLevel="0" collapsed="false">
      <c r="A10" s="0" t="n">
        <v>9</v>
      </c>
      <c r="B10" s="0" t="n">
        <v>219</v>
      </c>
      <c r="C10" s="0" t="n">
        <v>160</v>
      </c>
    </row>
    <row r="11" customFormat="false" ht="12.8" hidden="false" customHeight="false" outlineLevel="0" collapsed="false">
      <c r="A11" s="0" t="n">
        <v>10</v>
      </c>
      <c r="B11" s="0" t="n">
        <v>223</v>
      </c>
      <c r="C11" s="0" t="n">
        <v>257</v>
      </c>
    </row>
    <row r="12" customFormat="false" ht="12.8" hidden="false" customHeight="false" outlineLevel="0" collapsed="false">
      <c r="A12" s="0" t="n">
        <v>11</v>
      </c>
      <c r="B12" s="0" t="n">
        <v>217</v>
      </c>
      <c r="C12" s="0" t="n">
        <v>239</v>
      </c>
    </row>
    <row r="13" customFormat="false" ht="12.8" hidden="false" customHeight="false" outlineLevel="0" collapsed="false">
      <c r="A13" s="0" t="n">
        <v>12</v>
      </c>
      <c r="B13" s="0" t="n">
        <v>214</v>
      </c>
      <c r="C13" s="0" t="n">
        <v>230</v>
      </c>
    </row>
    <row r="14" customFormat="false" ht="12.8" hidden="false" customHeight="false" outlineLevel="0" collapsed="false">
      <c r="A14" s="0" t="n">
        <v>13</v>
      </c>
      <c r="B14" s="0" t="n">
        <v>189</v>
      </c>
      <c r="C14" s="0" t="n">
        <v>183</v>
      </c>
    </row>
    <row r="15" customFormat="false" ht="12.8" hidden="false" customHeight="false" outlineLevel="0" collapsed="false">
      <c r="A15" s="0" t="n">
        <v>14</v>
      </c>
      <c r="B15" s="0" t="n">
        <v>236</v>
      </c>
      <c r="C15" s="0" t="n">
        <v>217</v>
      </c>
    </row>
    <row r="16" customFormat="false" ht="12.8" hidden="false" customHeight="false" outlineLevel="0" collapsed="false">
      <c r="A16" s="0" t="n">
        <v>15</v>
      </c>
      <c r="B16" s="0" t="n">
        <v>248</v>
      </c>
      <c r="C16" s="0" t="n">
        <v>230</v>
      </c>
    </row>
    <row r="19" customFormat="false" ht="12.8" hidden="false" customHeight="false" outlineLevel="0" collapsed="false">
      <c r="B19" s="1" t="s">
        <v>3</v>
      </c>
      <c r="C19" s="1" t="s">
        <v>4</v>
      </c>
    </row>
    <row r="20" customFormat="false" ht="12.8" hidden="false" customHeight="false" outlineLevel="0" collapsed="false">
      <c r="A20" s="0" t="s">
        <v>5</v>
      </c>
      <c r="B20" s="0" t="n">
        <f aca="false">AVERAGE($B$2:$B$16)</f>
        <v>223.466666666667</v>
      </c>
      <c r="C20" s="0" t="n">
        <f aca="false">AVERAGE($C$2:$C$16)</f>
        <v>237.2</v>
      </c>
    </row>
    <row r="21" customFormat="false" ht="12.8" hidden="false" customHeight="false" outlineLevel="0" collapsed="false">
      <c r="A21" s="0" t="s">
        <v>6</v>
      </c>
      <c r="B21" s="0" t="n">
        <f aca="false">SQRT(VAR($B$2:$B$16)/COUNT($B$2:$B$16))</f>
        <v>5.62804767525299</v>
      </c>
      <c r="C21" s="0" t="n">
        <f aca="false">SQRT(VAR($C$2:$C$16)/COUNT($C$2:$C$16))</f>
        <v>12.6672430946535</v>
      </c>
    </row>
    <row r="22" customFormat="false" ht="12.8" hidden="false" customHeight="false" outlineLevel="0" collapsed="false">
      <c r="A22" s="0" t="s">
        <v>7</v>
      </c>
      <c r="B22" s="0" t="n">
        <f aca="false">MODE($B$2:$B$16)</f>
        <v>220</v>
      </c>
      <c r="C22" s="0" t="n">
        <f aca="false">MODE($C$2:$C$16)</f>
        <v>217</v>
      </c>
    </row>
    <row r="23" customFormat="false" ht="12.8" hidden="false" customHeight="false" outlineLevel="0" collapsed="false">
      <c r="A23" s="0" t="s">
        <v>8</v>
      </c>
      <c r="B23" s="0" t="n">
        <f aca="false">MEDIAN($B$2:$B$16)</f>
        <v>223</v>
      </c>
      <c r="C23" s="0" t="n">
        <f aca="false">MEDIAN($C$2:$C$16)</f>
        <v>230</v>
      </c>
    </row>
    <row r="24" customFormat="false" ht="12.8" hidden="false" customHeight="false" outlineLevel="0" collapsed="false">
      <c r="A24" s="0" t="s">
        <v>9</v>
      </c>
      <c r="B24" s="0" t="n">
        <f aca="false">QUARTILE($B$2:$B$16, 1)</f>
        <v>218</v>
      </c>
      <c r="C24" s="0" t="n">
        <f aca="false">QUARTILE($C$2:$C$16, 1)</f>
        <v>216</v>
      </c>
      <c r="E24" s="0" t="s">
        <v>1</v>
      </c>
      <c r="F24" s="0" t="s">
        <v>2</v>
      </c>
      <c r="G24" s="0" t="s">
        <v>10</v>
      </c>
      <c r="H24" s="0" t="s">
        <v>11</v>
      </c>
      <c r="I24" s="0" t="s">
        <v>12</v>
      </c>
    </row>
    <row r="25" customFormat="false" ht="12.8" hidden="false" customHeight="false" outlineLevel="0" collapsed="false">
      <c r="A25" s="0" t="s">
        <v>13</v>
      </c>
      <c r="B25" s="0" t="n">
        <f aca="false">QUARTILE($B$2:$B$16, 3)</f>
        <v>233</v>
      </c>
      <c r="C25" s="0" t="n">
        <f aca="false">QUARTILE($C$2:$C$16, 3)</f>
        <v>261</v>
      </c>
      <c r="E25" s="0" t="n">
        <v>228</v>
      </c>
      <c r="F25" s="0" t="n">
        <v>277</v>
      </c>
      <c r="G25" s="0" t="n">
        <v>155</v>
      </c>
      <c r="H25" s="0" t="n">
        <f aca="false" t="array" ref="H25:H34">FREQUENCY(E25:E39,G25:G34)</f>
        <v>0</v>
      </c>
      <c r="I25" s="0" t="n">
        <f aca="false" t="array" ref="I25:I34">FREQUENCY(F25:F39,G25:G34)</f>
        <v>0</v>
      </c>
    </row>
    <row r="26" customFormat="false" ht="12.8" hidden="false" customHeight="false" outlineLevel="0" collapsed="false">
      <c r="A26" s="0" t="s">
        <v>14</v>
      </c>
      <c r="B26" s="0" t="n">
        <f aca="false">VAR($B$2:$B$16)</f>
        <v>475.12380952381</v>
      </c>
      <c r="C26" s="0" t="n">
        <f aca="false">VAR($C$2:$C$16)</f>
        <v>2406.88571428571</v>
      </c>
      <c r="E26" s="0" t="n">
        <v>223</v>
      </c>
      <c r="F26" s="0" t="n">
        <v>164</v>
      </c>
      <c r="G26" s="0" t="n">
        <f aca="false">G25+25</f>
        <v>180</v>
      </c>
      <c r="H26" s="0" t="n">
        <v>1</v>
      </c>
      <c r="I26" s="0" t="n">
        <v>2</v>
      </c>
    </row>
    <row r="27" customFormat="false" ht="12.8" hidden="false" customHeight="false" outlineLevel="0" collapsed="false">
      <c r="A27" s="0" t="s">
        <v>15</v>
      </c>
      <c r="B27" s="0" t="n">
        <f aca="false">STDEV($B$2:$B$16)</f>
        <v>21.7973349179162</v>
      </c>
      <c r="C27" s="0" t="n">
        <f aca="false">STDEV($C$2:$C$16)</f>
        <v>49.060021547954</v>
      </c>
      <c r="E27" s="0" t="n">
        <v>178</v>
      </c>
      <c r="F27" s="0" t="n">
        <v>326</v>
      </c>
      <c r="G27" s="0" t="n">
        <f aca="false">G26+20</f>
        <v>200</v>
      </c>
      <c r="H27" s="0" t="n">
        <v>1</v>
      </c>
      <c r="I27" s="0" t="n">
        <v>1</v>
      </c>
    </row>
    <row r="28" customFormat="false" ht="12.8" hidden="false" customHeight="false" outlineLevel="0" collapsed="false">
      <c r="A28" s="0" t="s">
        <v>16</v>
      </c>
      <c r="B28" s="0" t="n">
        <f aca="false">KURT($B$2:$B$16)</f>
        <v>1.68477540428211</v>
      </c>
      <c r="C28" s="0" t="n">
        <f aca="false">KURT($C$2:$C$16)</f>
        <v>-0.19794730689638</v>
      </c>
      <c r="E28" s="0" t="n">
        <v>220</v>
      </c>
      <c r="F28" s="0" t="n">
        <v>215</v>
      </c>
      <c r="G28" s="0" t="n">
        <f aca="false">G27+20</f>
        <v>220</v>
      </c>
      <c r="H28" s="0" t="n">
        <v>5</v>
      </c>
      <c r="I28" s="0" t="n">
        <v>3</v>
      </c>
    </row>
    <row r="29" customFormat="false" ht="12.8" hidden="false" customHeight="false" outlineLevel="0" collapsed="false">
      <c r="A29" s="0" t="s">
        <v>17</v>
      </c>
      <c r="B29" s="0" t="n">
        <f aca="false">SKEW($B$2:$B$16)</f>
        <v>-0.0817054776889687</v>
      </c>
      <c r="C29" s="0" t="n">
        <f aca="false">SKEW($C$2:$C$16)</f>
        <v>0.242432180034689</v>
      </c>
      <c r="E29" s="0" t="n">
        <v>220</v>
      </c>
      <c r="F29" s="0" t="n">
        <v>259</v>
      </c>
      <c r="G29" s="0" t="n">
        <f aca="false">G28+20</f>
        <v>240</v>
      </c>
      <c r="H29" s="0" t="n">
        <v>6</v>
      </c>
      <c r="I29" s="0" t="n">
        <v>3</v>
      </c>
    </row>
    <row r="30" customFormat="false" ht="12.8" hidden="false" customHeight="false" outlineLevel="0" collapsed="false">
      <c r="A30" s="0" t="s">
        <v>18</v>
      </c>
      <c r="B30" s="0" t="n">
        <f aca="false">MAX($B$2:$B$16)-MIN($B$2:$B$16)</f>
        <v>93</v>
      </c>
      <c r="C30" s="0" t="n">
        <f aca="false">MAX($C$2:$C$16)-MIN($C$2:$C$16)</f>
        <v>166</v>
      </c>
      <c r="E30" s="0" t="n">
        <v>233</v>
      </c>
      <c r="F30" s="0" t="n">
        <v>217</v>
      </c>
      <c r="G30" s="0" t="n">
        <f aca="false">G29+20</f>
        <v>260</v>
      </c>
      <c r="H30" s="0" t="n">
        <v>1</v>
      </c>
      <c r="I30" s="0" t="n">
        <v>2</v>
      </c>
    </row>
    <row r="31" customFormat="false" ht="12.8" hidden="false" customHeight="false" outlineLevel="0" collapsed="false">
      <c r="A31" s="0" t="s">
        <v>19</v>
      </c>
      <c r="B31" s="0" t="n">
        <f aca="false">MIN($B$2:$B$16)</f>
        <v>178</v>
      </c>
      <c r="C31" s="0" t="n">
        <f aca="false">MIN($C$2:$C$16)</f>
        <v>160</v>
      </c>
      <c r="E31" s="0" t="n">
        <v>233</v>
      </c>
      <c r="F31" s="0" t="n">
        <v>321</v>
      </c>
      <c r="G31" s="0" t="n">
        <f aca="false">G30+20</f>
        <v>280</v>
      </c>
      <c r="H31" s="0" t="n">
        <v>1</v>
      </c>
      <c r="I31" s="0" t="n">
        <v>2</v>
      </c>
    </row>
    <row r="32" customFormat="false" ht="12.8" hidden="false" customHeight="false" outlineLevel="0" collapsed="false">
      <c r="A32" s="0" t="s">
        <v>20</v>
      </c>
      <c r="B32" s="0" t="n">
        <f aca="false">MAX($B$2:$B$16)</f>
        <v>271</v>
      </c>
      <c r="C32" s="0" t="n">
        <f aca="false">MAX($C$2:$C$16)</f>
        <v>326</v>
      </c>
      <c r="E32" s="0" t="n">
        <v>271</v>
      </c>
      <c r="F32" s="0" t="n">
        <v>263</v>
      </c>
      <c r="G32" s="0" t="n">
        <f aca="false">G31+20</f>
        <v>300</v>
      </c>
      <c r="H32" s="0" t="n">
        <v>0</v>
      </c>
      <c r="I32" s="0" t="n">
        <v>0</v>
      </c>
    </row>
    <row r="33" customFormat="false" ht="12.8" hidden="false" customHeight="false" outlineLevel="0" collapsed="false">
      <c r="A33" s="0" t="s">
        <v>21</v>
      </c>
      <c r="B33" s="0" t="n">
        <f aca="false">SUM($B$2:$B$16)</f>
        <v>3352</v>
      </c>
      <c r="C33" s="0" t="n">
        <f aca="false">SUM($C$2:$C$16)</f>
        <v>3558</v>
      </c>
      <c r="E33" s="0" t="n">
        <v>219</v>
      </c>
      <c r="F33" s="0" t="n">
        <v>160</v>
      </c>
      <c r="G33" s="0" t="n">
        <f aca="false">G32+20</f>
        <v>320</v>
      </c>
      <c r="H33" s="0" t="n">
        <v>0</v>
      </c>
      <c r="I33" s="0" t="n">
        <v>0</v>
      </c>
    </row>
    <row r="34" customFormat="false" ht="12.8" hidden="false" customHeight="false" outlineLevel="0" collapsed="false">
      <c r="A34" s="0" t="s">
        <v>22</v>
      </c>
      <c r="B34" s="0" t="n">
        <f aca="false">COUNT($B$2:$B$16)</f>
        <v>15</v>
      </c>
      <c r="C34" s="0" t="n">
        <f aca="false">COUNT($C$2:$C$16)</f>
        <v>15</v>
      </c>
      <c r="E34" s="0" t="n">
        <v>223</v>
      </c>
      <c r="F34" s="0" t="n">
        <v>257</v>
      </c>
      <c r="G34" s="0" t="n">
        <f aca="false">G33+20</f>
        <v>340</v>
      </c>
      <c r="H34" s="0" t="n">
        <v>0</v>
      </c>
      <c r="I34" s="0" t="n">
        <v>2</v>
      </c>
    </row>
    <row r="35" customFormat="false" ht="12.8" hidden="false" customHeight="false" outlineLevel="0" collapsed="false">
      <c r="E35" s="0" t="n">
        <v>217</v>
      </c>
      <c r="F35" s="0" t="n">
        <v>239</v>
      </c>
    </row>
    <row r="36" customFormat="false" ht="12.8" hidden="false" customHeight="false" outlineLevel="0" collapsed="false">
      <c r="E36" s="0" t="n">
        <v>214</v>
      </c>
      <c r="F36" s="0" t="n">
        <v>230</v>
      </c>
    </row>
    <row r="37" customFormat="false" ht="12.8" hidden="false" customHeight="false" outlineLevel="0" collapsed="false">
      <c r="E37" s="0" t="n">
        <v>189</v>
      </c>
      <c r="F37" s="0" t="n">
        <v>183</v>
      </c>
    </row>
    <row r="38" customFormat="false" ht="12.8" hidden="false" customHeight="false" outlineLevel="0" collapsed="false">
      <c r="E38" s="0" t="n">
        <v>236</v>
      </c>
      <c r="F38" s="0" t="n">
        <v>217</v>
      </c>
    </row>
    <row r="39" customFormat="false" ht="12.8" hidden="false" customHeight="false" outlineLevel="0" collapsed="false">
      <c r="E39" s="0" t="n">
        <v>248</v>
      </c>
      <c r="F39" s="0" t="n">
        <v>230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12" activeCellId="0" sqref="I12"/>
    </sheetView>
  </sheetViews>
  <sheetFormatPr defaultRowHeight="12.8"/>
  <cols>
    <col collapsed="false" hidden="false" max="4" min="1" style="0" width="11.5204081632653"/>
    <col collapsed="false" hidden="false" max="5" min="5" style="0" width="17.3673469387755"/>
    <col collapsed="false" hidden="false" max="1025" min="6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0</v>
      </c>
      <c r="F1" s="0" t="s">
        <v>1</v>
      </c>
      <c r="G1" s="0" t="s">
        <v>2</v>
      </c>
    </row>
    <row r="2" customFormat="false" ht="12.8" hidden="false" customHeight="false" outlineLevel="0" collapsed="false">
      <c r="A2" s="0" t="n">
        <v>1</v>
      </c>
      <c r="B2" s="0" t="n">
        <v>178</v>
      </c>
      <c r="C2" s="0" t="n">
        <v>160</v>
      </c>
      <c r="E2" s="0" t="n">
        <v>1</v>
      </c>
      <c r="F2" s="0" t="n">
        <v>214</v>
      </c>
      <c r="G2" s="0" t="n">
        <v>183</v>
      </c>
    </row>
    <row r="3" customFormat="false" ht="12.8" hidden="false" customHeight="false" outlineLevel="0" collapsed="false">
      <c r="A3" s="0" t="n">
        <v>2</v>
      </c>
      <c r="B3" s="0" t="n">
        <v>189</v>
      </c>
      <c r="C3" s="0" t="n">
        <v>164</v>
      </c>
      <c r="E3" s="0" t="n">
        <v>2</v>
      </c>
      <c r="F3" s="0" t="n">
        <v>217</v>
      </c>
      <c r="G3" s="0" t="n">
        <v>215</v>
      </c>
    </row>
    <row r="4" customFormat="false" ht="12.8" hidden="false" customHeight="false" outlineLevel="0" collapsed="false">
      <c r="A4" s="0" t="n">
        <v>3</v>
      </c>
      <c r="B4" s="0" t="n">
        <v>214</v>
      </c>
      <c r="C4" s="0" t="n">
        <v>183</v>
      </c>
      <c r="E4" s="0" t="n">
        <v>3</v>
      </c>
      <c r="F4" s="0" t="n">
        <v>219</v>
      </c>
      <c r="G4" s="0" t="n">
        <v>217</v>
      </c>
    </row>
    <row r="5" customFormat="false" ht="12.8" hidden="false" customHeight="false" outlineLevel="0" collapsed="false">
      <c r="A5" s="0" t="n">
        <v>4</v>
      </c>
      <c r="B5" s="0" t="n">
        <v>217</v>
      </c>
      <c r="C5" s="0" t="n">
        <v>215</v>
      </c>
      <c r="E5" s="0" t="n">
        <v>4</v>
      </c>
      <c r="F5" s="0" t="n">
        <v>220</v>
      </c>
      <c r="G5" s="0" t="n">
        <v>217</v>
      </c>
    </row>
    <row r="6" customFormat="false" ht="12.8" hidden="false" customHeight="false" outlineLevel="0" collapsed="false">
      <c r="A6" s="0" t="n">
        <v>5</v>
      </c>
      <c r="B6" s="0" t="n">
        <v>219</v>
      </c>
      <c r="C6" s="0" t="n">
        <v>217</v>
      </c>
      <c r="E6" s="0" t="n">
        <v>5</v>
      </c>
      <c r="F6" s="0" t="n">
        <v>220</v>
      </c>
      <c r="G6" s="0" t="n">
        <v>230</v>
      </c>
    </row>
    <row r="7" customFormat="false" ht="12.8" hidden="false" customHeight="false" outlineLevel="0" collapsed="false">
      <c r="A7" s="0" t="n">
        <v>6</v>
      </c>
      <c r="B7" s="0" t="n">
        <v>220</v>
      </c>
      <c r="C7" s="0" t="n">
        <v>217</v>
      </c>
      <c r="E7" s="0" t="n">
        <v>6</v>
      </c>
      <c r="F7" s="0" t="n">
        <v>223</v>
      </c>
      <c r="G7" s="0" t="n">
        <v>230</v>
      </c>
    </row>
    <row r="8" customFormat="false" ht="12.8" hidden="false" customHeight="false" outlineLevel="0" collapsed="false">
      <c r="A8" s="0" t="n">
        <v>7</v>
      </c>
      <c r="B8" s="0" t="n">
        <v>220</v>
      </c>
      <c r="C8" s="0" t="n">
        <v>230</v>
      </c>
      <c r="E8" s="0" t="n">
        <v>7</v>
      </c>
      <c r="F8" s="0" t="n">
        <v>223</v>
      </c>
      <c r="G8" s="0" t="n">
        <v>239</v>
      </c>
    </row>
    <row r="9" customFormat="false" ht="12.8" hidden="false" customHeight="false" outlineLevel="0" collapsed="false">
      <c r="A9" s="0" t="n">
        <v>8</v>
      </c>
      <c r="B9" s="0" t="n">
        <v>223</v>
      </c>
      <c r="C9" s="0" t="n">
        <v>230</v>
      </c>
      <c r="E9" s="0" t="n">
        <v>8</v>
      </c>
      <c r="F9" s="0" t="n">
        <v>228</v>
      </c>
      <c r="G9" s="0" t="n">
        <v>257</v>
      </c>
    </row>
    <row r="10" customFormat="false" ht="12.8" hidden="false" customHeight="false" outlineLevel="0" collapsed="false">
      <c r="A10" s="0" t="n">
        <v>9</v>
      </c>
      <c r="B10" s="0" t="n">
        <v>223</v>
      </c>
      <c r="C10" s="0" t="n">
        <v>239</v>
      </c>
      <c r="E10" s="0" t="n">
        <v>9</v>
      </c>
      <c r="F10" s="0" t="n">
        <v>233</v>
      </c>
      <c r="G10" s="0" t="n">
        <v>259</v>
      </c>
    </row>
    <row r="11" customFormat="false" ht="12.8" hidden="false" customHeight="false" outlineLevel="0" collapsed="false">
      <c r="A11" s="0" t="n">
        <v>10</v>
      </c>
      <c r="B11" s="0" t="n">
        <v>228</v>
      </c>
      <c r="C11" s="0" t="n">
        <v>257</v>
      </c>
      <c r="E11" s="0" t="n">
        <v>10</v>
      </c>
      <c r="F11" s="0" t="n">
        <v>233</v>
      </c>
      <c r="G11" s="0" t="n">
        <v>263</v>
      </c>
    </row>
    <row r="12" customFormat="false" ht="12.8" hidden="false" customHeight="false" outlineLevel="0" collapsed="false">
      <c r="A12" s="0" t="n">
        <v>11</v>
      </c>
      <c r="B12" s="0" t="n">
        <v>233</v>
      </c>
      <c r="C12" s="0" t="n">
        <v>259</v>
      </c>
      <c r="E12" s="0" t="n">
        <v>11</v>
      </c>
      <c r="F12" s="0" t="n">
        <v>236</v>
      </c>
      <c r="G12" s="0" t="n">
        <v>277</v>
      </c>
    </row>
    <row r="13" customFormat="false" ht="12.8" hidden="false" customHeight="false" outlineLevel="0" collapsed="false">
      <c r="A13" s="0" t="n">
        <v>12</v>
      </c>
      <c r="B13" s="0" t="n">
        <v>233</v>
      </c>
      <c r="C13" s="0" t="n">
        <v>263</v>
      </c>
    </row>
    <row r="14" customFormat="false" ht="12.8" hidden="false" customHeight="false" outlineLevel="0" collapsed="false">
      <c r="A14" s="0" t="n">
        <v>13</v>
      </c>
      <c r="B14" s="0" t="n">
        <v>236</v>
      </c>
      <c r="C14" s="0" t="n">
        <v>277</v>
      </c>
      <c r="F14" s="1" t="s">
        <v>3</v>
      </c>
      <c r="G14" s="1" t="s">
        <v>4</v>
      </c>
    </row>
    <row r="15" customFormat="false" ht="12.8" hidden="false" customHeight="false" outlineLevel="0" collapsed="false">
      <c r="A15" s="0" t="n">
        <v>14</v>
      </c>
      <c r="B15" s="0" t="n">
        <v>248</v>
      </c>
      <c r="C15" s="0" t="n">
        <v>321</v>
      </c>
      <c r="E15" s="0" t="s">
        <v>5</v>
      </c>
      <c r="F15" s="0" t="n">
        <f aca="false">AVERAGE($F$1:$F$12)</f>
        <v>224.181818181818</v>
      </c>
      <c r="G15" s="0" t="n">
        <f aca="false">AVERAGE($G$1:$G$12)</f>
        <v>235.181818181818</v>
      </c>
    </row>
    <row r="16" customFormat="false" ht="12.8" hidden="false" customHeight="false" outlineLevel="0" collapsed="false">
      <c r="A16" s="0" t="n">
        <v>15</v>
      </c>
      <c r="B16" s="0" t="n">
        <v>271</v>
      </c>
      <c r="C16" s="0" t="n">
        <v>326</v>
      </c>
      <c r="E16" s="0" t="s">
        <v>6</v>
      </c>
      <c r="F16" s="0" t="n">
        <f aca="false">SQRT(VAR($F$1:$F$12)/COUNT($F$1:$F$12))</f>
        <v>2.194282578215</v>
      </c>
      <c r="G16" s="0" t="n">
        <f aca="false">SQRT(VAR($G$1:$G$12)/COUNT($G$1:$G$12))</f>
        <v>8.21619042646694</v>
      </c>
    </row>
    <row r="17" customFormat="false" ht="12.8" hidden="false" customHeight="false" outlineLevel="0" collapsed="false">
      <c r="E17" s="0" t="s">
        <v>7</v>
      </c>
      <c r="F17" s="0" t="n">
        <f aca="false">MODE($F$1:$F$12)</f>
        <v>220</v>
      </c>
      <c r="G17" s="0" t="n">
        <f aca="false">MODE($G$1:$G$12)</f>
        <v>217</v>
      </c>
    </row>
    <row r="18" customFormat="false" ht="12.8" hidden="false" customHeight="false" outlineLevel="0" collapsed="false">
      <c r="E18" s="0" t="s">
        <v>8</v>
      </c>
      <c r="F18" s="0" t="n">
        <f aca="false">MEDIAN($F$1:$F$12)</f>
        <v>223</v>
      </c>
      <c r="G18" s="0" t="n">
        <f aca="false">MEDIAN($G$1:$G$12)</f>
        <v>230</v>
      </c>
    </row>
    <row r="19" customFormat="false" ht="12.8" hidden="false" customHeight="false" outlineLevel="0" collapsed="false">
      <c r="E19" s="0" t="s">
        <v>9</v>
      </c>
      <c r="F19" s="0" t="n">
        <f aca="false">QUARTILE($F$1:$F$12, 1)</f>
        <v>219.5</v>
      </c>
      <c r="G19" s="0" t="n">
        <f aca="false">QUARTILE($G$1:$G$12, 1)</f>
        <v>217</v>
      </c>
    </row>
    <row r="20" customFormat="false" ht="12.8" hidden="false" customHeight="false" outlineLevel="0" collapsed="false">
      <c r="E20" s="0" t="s">
        <v>13</v>
      </c>
      <c r="F20" s="0" t="n">
        <f aca="false">QUARTILE($F$1:$F$12, 3)</f>
        <v>230.5</v>
      </c>
      <c r="G20" s="0" t="n">
        <f aca="false">QUARTILE($G$1:$G$12, 3)</f>
        <v>258</v>
      </c>
    </row>
    <row r="21" customFormat="false" ht="12.8" hidden="false" customHeight="false" outlineLevel="0" collapsed="false">
      <c r="E21" s="0" t="s">
        <v>14</v>
      </c>
      <c r="F21" s="0" t="n">
        <f aca="false">VAR($F$1:$F$12)</f>
        <v>52.9636363636364</v>
      </c>
      <c r="G21" s="0" t="n">
        <f aca="false">VAR($G$1:$G$12)</f>
        <v>742.563636363636</v>
      </c>
    </row>
    <row r="22" customFormat="false" ht="12.8" hidden="false" customHeight="false" outlineLevel="0" collapsed="false">
      <c r="E22" s="0" t="s">
        <v>15</v>
      </c>
      <c r="F22" s="0" t="n">
        <f aca="false">STDEV($F$1:$F$12)</f>
        <v>7.27761199595282</v>
      </c>
      <c r="G22" s="0" t="n">
        <f aca="false">STDEV($G$1:$G$12)</f>
        <v>27.2500208507009</v>
      </c>
    </row>
    <row r="23" customFormat="false" ht="12.8" hidden="false" customHeight="false" outlineLevel="0" collapsed="false">
      <c r="E23" s="0" t="s">
        <v>16</v>
      </c>
      <c r="F23" s="0" t="n">
        <f aca="false">KURT($F$1:$F$12)</f>
        <v>-1.12384331563388</v>
      </c>
      <c r="G23" s="0" t="n">
        <f aca="false">KURT($G$1:$G$12)</f>
        <v>-0.174838980082129</v>
      </c>
    </row>
    <row r="24" customFormat="false" ht="12.8" hidden="false" customHeight="false" outlineLevel="0" collapsed="false">
      <c r="E24" s="0" t="s">
        <v>17</v>
      </c>
      <c r="F24" s="0" t="n">
        <f aca="false">SKEW($F$1:$F$12)</f>
        <v>0.432207705417721</v>
      </c>
      <c r="G24" s="0" t="n">
        <f aca="false">SKEW($G$1:$G$12)</f>
        <v>-0.265746119369591</v>
      </c>
    </row>
    <row r="25" customFormat="false" ht="12.8" hidden="false" customHeight="false" outlineLevel="0" collapsed="false">
      <c r="E25" s="0" t="s">
        <v>18</v>
      </c>
      <c r="F25" s="0" t="n">
        <f aca="false">MAX($F$1:$F$12)-MIN($F$1:$F$12)</f>
        <v>22</v>
      </c>
      <c r="G25" s="0" t="n">
        <f aca="false">MAX($G$1:$G$12)-MIN($G$1:$G$12)</f>
        <v>94</v>
      </c>
    </row>
    <row r="26" customFormat="false" ht="12.8" hidden="false" customHeight="false" outlineLevel="0" collapsed="false">
      <c r="E26" s="0" t="s">
        <v>19</v>
      </c>
      <c r="F26" s="0" t="n">
        <f aca="false">MIN($F$1:$F$12)</f>
        <v>214</v>
      </c>
      <c r="G26" s="0" t="n">
        <f aca="false">MIN($G$1:$G$12)</f>
        <v>183</v>
      </c>
    </row>
    <row r="27" customFormat="false" ht="12.8" hidden="false" customHeight="false" outlineLevel="0" collapsed="false">
      <c r="E27" s="0" t="s">
        <v>20</v>
      </c>
      <c r="F27" s="0" t="n">
        <f aca="false">MAX($F$1:$F$12)</f>
        <v>236</v>
      </c>
      <c r="G27" s="0" t="n">
        <f aca="false">MAX($G$1:$G$12)</f>
        <v>277</v>
      </c>
    </row>
    <row r="28" customFormat="false" ht="12.8" hidden="false" customHeight="false" outlineLevel="0" collapsed="false">
      <c r="E28" s="0" t="s">
        <v>21</v>
      </c>
      <c r="F28" s="0" t="n">
        <f aca="false">SUM($F$1:$F$12)</f>
        <v>2466</v>
      </c>
      <c r="G28" s="0" t="n">
        <f aca="false">SUM($G$1:$G$12)</f>
        <v>2587</v>
      </c>
    </row>
    <row r="29" customFormat="false" ht="12.8" hidden="false" customHeight="false" outlineLevel="0" collapsed="false">
      <c r="E29" s="0" t="s">
        <v>22</v>
      </c>
      <c r="F29" s="0" t="n">
        <f aca="false">COUNT($F$1:$F$12)</f>
        <v>11</v>
      </c>
      <c r="G29" s="0" t="n">
        <f aca="false">COUNT($G$1:$G$12)</f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2021-05-13T18:59:54Z</dcterms:created>
  <dc:creator/>
  <dc:description/>
  <dc:language>en-US</dc:language>
  <cp:lastModifiedBy/>
  <dcterms:modified xsi:type="dcterms:W3CDTF">2021-05-13T19:37:42Z</dcterms:modified>
  <cp:revision>3</cp:revision>
  <dc:subject/>
  <dc:title/>
</cp:coreProperties>
</file>