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<sst xmlns="http://schemas.openxmlformats.org/spreadsheetml/2006/main" count="13" uniqueCount="13">
  <si>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x=#guys that like spinach</t>
  </si>
  <si>
    <t xml:space="preserve">n=sample size</t>
  </si>
  <si>
    <t xml:space="preserve">p_hat=x/n</t>
  </si>
  <si>
    <t xml:space="preserve">var(x)=n*p_hat*(1-p_hat)</t>
  </si>
  <si>
    <t xml:space="preserve">&gt;10</t>
  </si>
  <si>
    <t xml:space="preserve">Normal distribution for p_hat with</t>
  </si>
  <si>
    <t xml:space="preserve">mean</t>
  </si>
  <si>
    <t xml:space="preserve">st dev=sqrt(p_hat*(1-p_hat)/n)</t>
  </si>
  <si>
    <t xml:space="preserve">alpha</t>
  </si>
  <si>
    <t xml:space="preserve">z_(alpha/2)</t>
  </si>
  <si>
    <r>
      <rPr>
        <sz val="10"/>
        <rFont val="Arial"/>
        <family val="2"/>
      </rPr>
      <t xml:space="preserve">-NORM.INV(</t>
    </r>
    <r>
      <rPr>
        <sz val="10"/>
        <color rgb="FF0000FF"/>
        <rFont val="Arial"/>
        <family val="2"/>
      </rPr>
      <t xml:space="preserve">B8</t>
    </r>
    <r>
      <rPr>
        <sz val="10"/>
        <rFont val="Arial"/>
        <family val="2"/>
      </rPr>
      <t xml:space="preserve">/2,0,1)</t>
    </r>
  </si>
  <si>
    <t xml:space="preserve">CI low=p_hat-z_(alpha/2)*(st dev)</t>
  </si>
  <si>
    <t xml:space="preserve">CI high=p_hat+z_(alpha/2)*(st dev)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</si>
</sst>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RowHeight="12.8"/>
  <cols>
    <col collapsed="false" hidden="false" max="1" min="1" style="0" width="29.5561224489796"/>
    <col collapsed="false" hidden="false" max="2" min="2" style="0" width="18.8979591836735"/>
    <col collapsed="false" hidden="false" max="3" min="3" style="0" width="12.7244897959184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120</v>
      </c>
    </row>
    <row r="2" customFormat="false" ht="12.8" hidden="false" customHeight="false" outlineLevel="0" collapsed="false">
      <c r="A2" s="0" t="s">
        <v>1</v>
      </c>
      <c r="B2" s="0" t="n">
        <v>500</v>
      </c>
    </row>
    <row r="3" customFormat="false" ht="12.8" hidden="false" customHeight="false" outlineLevel="0" collapsed="false">
      <c r="A3" s="0" t="s">
        <v>2</v>
      </c>
      <c r="B3" s="0" t="n">
        <f aca="false">B1/B2</f>
        <v>0.24</v>
      </c>
    </row>
    <row r="4" customFormat="false" ht="12.8" hidden="false" customHeight="false" outlineLevel="0" collapsed="false">
      <c r="A4" s="0" t="s">
        <v>3</v>
      </c>
      <c r="B4" s="0" t="n">
        <f aca="false">B2*B3*(1-B3)</f>
        <v>91.2</v>
      </c>
      <c r="C4" s="0" t="s">
        <v>4</v>
      </c>
    </row>
    <row r="5" customFormat="false" ht="12.8" hidden="false" customHeight="false" outlineLevel="0" collapsed="false">
      <c r="A5" s="0" t="s">
        <v>5</v>
      </c>
    </row>
    <row r="6" customFormat="false" ht="12.8" hidden="false" customHeight="false" outlineLevel="0" collapsed="false">
      <c r="A6" s="0" t="s">
        <v>6</v>
      </c>
      <c r="B6" s="0" t="n">
        <f aca="false">B3</f>
        <v>0.24</v>
      </c>
    </row>
    <row r="7" customFormat="false" ht="12.8" hidden="false" customHeight="false" outlineLevel="0" collapsed="false">
      <c r="A7" s="0" t="s">
        <v>7</v>
      </c>
      <c r="B7" s="0" t="n">
        <f aca="false">SQRT(B3*(1-B3)/B2)</f>
        <v>0.0190997382181013</v>
      </c>
    </row>
    <row r="8" customFormat="false" ht="12.8" hidden="false" customHeight="false" outlineLevel="0" collapsed="false">
      <c r="A8" s="0" t="s">
        <v>8</v>
      </c>
      <c r="B8" s="0" t="n">
        <v>0.01</v>
      </c>
    </row>
    <row r="9" customFormat="false" ht="13.05" hidden="false" customHeight="false" outlineLevel="0" collapsed="false">
      <c r="A9" s="0" t="s">
        <v>9</v>
      </c>
      <c r="B9" s="0" t="s">
        <v>10</v>
      </c>
      <c r="C9" s="0" t="n">
        <f aca="false">-_xlfn.NORM.INV(B8/2,0,1)</f>
        <v>2.5758293035489</v>
      </c>
    </row>
    <row r="10" customFormat="false" ht="12.8" hidden="false" customHeight="false" outlineLevel="0" collapsed="false">
      <c r="A10" s="0" t="s">
        <v>11</v>
      </c>
      <c r="B10" s="0" t="n">
        <f aca="false">B6-C9*B7</f>
        <v>0.190802334607702</v>
      </c>
      <c r="C10" s="0" t="n">
        <f aca="false">ROUND(B10,3)</f>
        <v>0.191</v>
      </c>
    </row>
    <row r="11" customFormat="false" ht="12.8" hidden="false" customHeight="false" outlineLevel="0" collapsed="false">
      <c r="A11" s="0" t="s">
        <v>12</v>
      </c>
      <c r="B11" s="0" t="n">
        <f aca="false">B6+C9*B7</f>
        <v>0.289197665392298</v>
      </c>
      <c r="C11" s="0" t="n">
        <f aca="false">ROUND(B11,3)</f>
        <v>0.289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2021-06-03T10:21:51Z</dcterms:created>
  <dc:creator/>
  <dc:description/>
  <dc:language>en-US</dc:language>
  <cp:lastModifiedBy/>
  <dcterms:modified xsi:type="dcterms:W3CDTF">2021-06-03T15:20:55Z</dcterms:modified>
  <cp:revision>3</cp:revision>
  <dc:subject/>
  <dc:title/>
</cp:coreProperties>
</file>