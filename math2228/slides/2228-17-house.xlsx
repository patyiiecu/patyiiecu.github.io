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charts/chart27.xml" ContentType="application/vnd.openxmlformats-officedocument.drawingml.chart+xml"/>
  <Override PartName="/xl/drawings/drawing1.xml" ContentType="application/vnd.openxmlformats-officedocument.drawing+xml"/>
  <Override PartName="/xl/drawings/_rels/drawing1.xml.rels" ContentType="application/vnd.openxmlformats-package.relationships+xml"/>
  <Override PartName="/xl/_rels/workbook.xml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991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<sst xmlns="http://schemas.openxmlformats.org/spreadsheetml/2006/main" count="9" uniqueCount="9">
  <si>
    <t xml:space="preserve">x</t>
  </si>
  <si>
    <t xml:space="preserve">y</t>
  </si>
  <si>
    <t xml:space="preserve">y hat</t>
  </si>
  <si>
    <t xml:space="preserve">correlation</t>
  </si>
  <si>
    <t xml:space="preserve">slope</t>
  </si>
  <si>
    <t xml:space="preserve">intercept</t>
  </si>
  <si>
    <t xml:space="preserve">count</t>
  </si>
  <si>
    <t xml:space="preserve">r_crit(12)</t>
  </si>
  <si>
    <t xml:space="preserve">residual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</si>
</sst>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3"/>
      <name val="Arial"/>
      <family val="2"/>
    </font>
    <font>
      <sz val="9"/>
      <name val="Arial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3B3B3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420E"/>
      <rgbColor rgb="FF666699"/>
      <rgbColor rgb="FF969696"/>
      <rgbColor rgb="FF00458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300" spc="-1" strike="noStrike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Arial"/>
              </a:defRPr>
            </a:pPr>
            <a:r>
              <a:rPr b="0" sz="1300" spc="-1" strike="noStrike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Arial"/>
              </a:rPr>
              <a:t>House price versus square footage</a:t>
            </a:r>
          </a:p>
        </c:rich>
      </c:tx>
      <c:overlay val="0"/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y</c:v>
                </c:pt>
              </c:strCache>
            </c:strRef>
          </c:tx>
          <c:spPr>
            <a:solidFill>
              <a:srgbClr val="004586"/>
            </a:solidFill>
            <a:ln w="28800">
              <a:solidFill>
                <a:srgbClr val="004586"/>
              </a:solidFill>
              <a:round/>
            </a:ln>
          </c:spPr>
          <c:marker>
            <c:symbol val="square"/>
            <c:size val="8"/>
            <c:spPr>
              <a:solidFill>
                <a:srgbClr val="004586"/>
              </a:solidFill>
            </c:spPr>
          </c:marker>
          <c:dLbls>
            <c:showLegendKey val="0"/>
            <c:showVal val="0"/>
            <c:showCatName val="0"/>
            <c:showSerName val="0"/>
            <c:showPercent val="0"/>
            <c:showLeaderLines val="0"/>
          </c:dLbls>
          <c:xVal>
            <c:numRef>
              <c:f>Sheet1!$A$2:$A$13</c:f>
              <c:numCache>
                <c:formatCode>General</c:formatCode>
                <c:ptCount val="12"/>
                <c:pt idx="0">
                  <c:v>2204</c:v>
                </c:pt>
                <c:pt idx="1">
                  <c:v>3183</c:v>
                </c:pt>
                <c:pt idx="2">
                  <c:v>1128</c:v>
                </c:pt>
                <c:pt idx="3">
                  <c:v>1975</c:v>
                </c:pt>
                <c:pt idx="4">
                  <c:v>3101</c:v>
                </c:pt>
                <c:pt idx="5">
                  <c:v>2769</c:v>
                </c:pt>
                <c:pt idx="6">
                  <c:v>4113</c:v>
                </c:pt>
                <c:pt idx="7">
                  <c:v>2198</c:v>
                </c:pt>
                <c:pt idx="8">
                  <c:v>2609</c:v>
                </c:pt>
                <c:pt idx="9">
                  <c:v>1708</c:v>
                </c:pt>
                <c:pt idx="10">
                  <c:v>1786</c:v>
                </c:pt>
                <c:pt idx="11">
                  <c:v>3813</c:v>
                </c:pt>
              </c:numCache>
            </c:numRef>
          </c:xVal>
          <c:yVal>
            <c:numRef>
              <c:f>Sheet1!$B$2:$B$13</c:f>
              <c:numCache>
                <c:formatCode>General</c:formatCode>
                <c:ptCount val="12"/>
                <c:pt idx="0">
                  <c:v>379.9</c:v>
                </c:pt>
                <c:pt idx="1">
                  <c:v>375</c:v>
                </c:pt>
                <c:pt idx="2">
                  <c:v>189.9</c:v>
                </c:pt>
                <c:pt idx="3">
                  <c:v>338</c:v>
                </c:pt>
                <c:pt idx="4">
                  <c:v>619.9</c:v>
                </c:pt>
                <c:pt idx="5">
                  <c:v>370</c:v>
                </c:pt>
                <c:pt idx="6">
                  <c:v>627.7</c:v>
                </c:pt>
                <c:pt idx="7">
                  <c:v>375</c:v>
                </c:pt>
                <c:pt idx="8">
                  <c:v>425</c:v>
                </c:pt>
                <c:pt idx="9">
                  <c:v>298.1</c:v>
                </c:pt>
                <c:pt idx="10">
                  <c:v>271</c:v>
                </c:pt>
                <c:pt idx="11">
                  <c:v>690.1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y hat</c:v>
                </c:pt>
              </c:strCache>
            </c:strRef>
          </c:tx>
          <c:spPr>
            <a:solidFill>
              <a:srgbClr val="ff420e"/>
            </a:solidFill>
            <a:ln w="28800">
              <a:solidFill>
                <a:srgbClr val="ff420e"/>
              </a:solidFill>
              <a:round/>
            </a:ln>
          </c:spPr>
          <c:marker>
            <c:symbol val="diamond"/>
            <c:size val="8"/>
            <c:spPr>
              <a:solidFill>
                <a:srgbClr val="ff420e"/>
              </a:solidFill>
            </c:spPr>
          </c:marker>
          <c:dLbls>
            <c:showLegendKey val="0"/>
            <c:showVal val="0"/>
            <c:showCatName val="0"/>
            <c:showSerName val="0"/>
            <c:showPercent val="0"/>
            <c:showLeaderLines val="0"/>
          </c:dLbls>
          <c:xVal>
            <c:numRef>
              <c:f>Sheet1!$A$2:$A$13</c:f>
              <c:numCache>
                <c:formatCode>General</c:formatCode>
                <c:ptCount val="12"/>
                <c:pt idx="0">
                  <c:v>2204</c:v>
                </c:pt>
                <c:pt idx="1">
                  <c:v>3183</c:v>
                </c:pt>
                <c:pt idx="2">
                  <c:v>1128</c:v>
                </c:pt>
                <c:pt idx="3">
                  <c:v>1975</c:v>
                </c:pt>
                <c:pt idx="4">
                  <c:v>3101</c:v>
                </c:pt>
                <c:pt idx="5">
                  <c:v>2769</c:v>
                </c:pt>
                <c:pt idx="6">
                  <c:v>4113</c:v>
                </c:pt>
                <c:pt idx="7">
                  <c:v>2198</c:v>
                </c:pt>
                <c:pt idx="8">
                  <c:v>2609</c:v>
                </c:pt>
                <c:pt idx="9">
                  <c:v>1708</c:v>
                </c:pt>
                <c:pt idx="10">
                  <c:v>1786</c:v>
                </c:pt>
                <c:pt idx="11">
                  <c:v>3813</c:v>
                </c:pt>
              </c:numCache>
            </c:numRef>
          </c:xVal>
          <c:yVal>
            <c:numRef>
              <c:f>Sheet1!$C$2:$C$13</c:f>
              <c:numCache>
                <c:formatCode>General</c:formatCode>
                <c:ptCount val="12"/>
                <c:pt idx="0">
                  <c:v>359.385427893406</c:v>
                </c:pt>
                <c:pt idx="1">
                  <c:v>512.414756984556</c:v>
                </c:pt>
                <c:pt idx="2">
                  <c:v>191.193846583828</c:v>
                </c:pt>
                <c:pt idx="3">
                  <c:v>323.590007707631</c:v>
                </c:pt>
                <c:pt idx="4">
                  <c:v>499.597182944235</c:v>
                </c:pt>
                <c:pt idx="5">
                  <c:v>447.701639268788</c:v>
                </c:pt>
                <c:pt idx="6">
                  <c:v>657.784804027221</c:v>
                </c:pt>
                <c:pt idx="7">
                  <c:v>358.447556622163</c:v>
                </c:pt>
                <c:pt idx="8">
                  <c:v>422.691738702308</c:v>
                </c:pt>
                <c:pt idx="9">
                  <c:v>281.854736137318</c:v>
                </c:pt>
                <c:pt idx="10">
                  <c:v>294.047062663477</c:v>
                </c:pt>
                <c:pt idx="11">
                  <c:v>610.891240465071</c:v>
                </c:pt>
              </c:numCache>
            </c:numRef>
          </c:yVal>
          <c:smooth val="0"/>
        </c:ser>
        <c:axId val="84203770"/>
        <c:axId val="53916857"/>
      </c:scatterChart>
      <c:valAx>
        <c:axId val="84203770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0" sz="900" spc="-1" strike="noStrike">
                    <a:solidFill>
                      <a:srgbClr val="000000"/>
                    </a:solidFill>
                    <a:uFill>
                      <a:solidFill>
                        <a:srgbClr val="ffffff"/>
                      </a:solidFill>
                    </a:uFill>
                    <a:latin typeface="Arial"/>
                  </a:defRPr>
                </a:pPr>
                <a:r>
                  <a:rPr b="0" sz="900" spc="-1" strike="noStrike">
                    <a:solidFill>
                      <a:srgbClr val="000000"/>
                    </a:solidFill>
                    <a:uFill>
                      <a:solidFill>
                        <a:srgbClr val="ffffff"/>
                      </a:solidFill>
                    </a:uFill>
                    <a:latin typeface="Arial"/>
                  </a:rPr>
                  <a:t>size (sq ft)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spPr>
          <a:ln>
            <a:solidFill>
              <a:srgbClr val="b3b3b3"/>
            </a:solidFill>
          </a:ln>
        </c:spPr>
        <c:txPr>
          <a:bodyPr/>
          <a:p>
            <a:pPr>
              <a:defRPr b="0" sz="1000" spc="-1" strike="noStrike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Arial"/>
              </a:defRPr>
            </a:pPr>
          </a:p>
        </c:txPr>
        <c:crossAx val="53916857"/>
        <c:crosses val="autoZero"/>
        <c:crossBetween val="midCat"/>
      </c:valAx>
      <c:valAx>
        <c:axId val="53916857"/>
        <c:scaling>
          <c:orientation val="minMax"/>
        </c:scaling>
        <c:delete val="0"/>
        <c:axPos val="l"/>
        <c:majorGridlines>
          <c:spPr>
            <a:ln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b="0" sz="900" spc="-1" strike="noStrike">
                    <a:solidFill>
                      <a:srgbClr val="000000"/>
                    </a:solidFill>
                    <a:uFill>
                      <a:solidFill>
                        <a:srgbClr val="ffffff"/>
                      </a:solidFill>
                    </a:uFill>
                    <a:latin typeface="Arial"/>
                  </a:defRPr>
                </a:pPr>
                <a:r>
                  <a:rPr b="0" sz="900" spc="-1" strike="noStrike">
                    <a:solidFill>
                      <a:srgbClr val="000000"/>
                    </a:solidFill>
                    <a:uFill>
                      <a:solidFill>
                        <a:srgbClr val="ffffff"/>
                      </a:solidFill>
                    </a:uFill>
                    <a:latin typeface="Arial"/>
                  </a:rPr>
                  <a:t>price ($1000s)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spPr>
          <a:ln>
            <a:solidFill>
              <a:srgbClr val="b3b3b3"/>
            </a:solidFill>
          </a:ln>
        </c:spPr>
        <c:txPr>
          <a:bodyPr/>
          <a:p>
            <a:pPr>
              <a:defRPr b="0" sz="1000" spc="-1" strike="noStrike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Arial"/>
              </a:defRPr>
            </a:pPr>
          </a:p>
        </c:txPr>
        <c:crossAx val="84203770"/>
        <c:crosses val="autoZero"/>
        <c:crossBetween val="midCat"/>
      </c:valAx>
      <c:spPr>
        <a:noFill/>
        <a:ln>
          <a:solidFill>
            <a:srgbClr val="b3b3b3"/>
          </a:solidFill>
        </a:ln>
      </c:spPr>
    </c:plotArea>
    <c:legend>
      <c:legendPos val="r"/>
      <c:overlay val="0"/>
      <c:spPr>
        <a:noFill/>
        <a:ln>
          <a:noFill/>
        </a:ln>
      </c:spPr>
    </c:legend>
    <c:plotVisOnly val="1"/>
    <c:dispBlanksAs val="span"/>
  </c:chart>
  <c:spPr>
    <a:solidFill>
      <a:srgbClr val="ffffff"/>
    </a:solidFill>
    <a:ln>
      <a:noFill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27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4</xdr:col>
      <xdr:colOff>14400</xdr:colOff>
      <xdr:row>0</xdr:row>
      <xdr:rowOff>0</xdr:rowOff>
    </xdr:from>
    <xdr:to>
      <xdr:col>11</xdr:col>
      <xdr:colOff>84600</xdr:colOff>
      <xdr:row>19</xdr:row>
      <xdr:rowOff>151200</xdr:rowOff>
    </xdr:to>
    <xdr:graphicFrame>
      <xdr:nvGraphicFramePr>
        <xdr:cNvPr id="0" name=""/>
        <xdr:cNvGraphicFramePr/>
      </xdr:nvGraphicFramePr>
      <xdr:xfrm>
        <a:off x="3265560" y="0"/>
        <a:ext cx="575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23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90" zoomScaleNormal="90" zoomScalePageLayoutView="100" workbookViewId="0">
      <selection pane="topLeft" activeCell="N15" activeCellId="0" sqref="N15"/>
    </sheetView>
  </sheetViews>
  <sheetFormatPr defaultRowHeight="12.8"/>
  <cols>
    <col collapsed="false" hidden="false" max="1025" min="1" style="0" width="11.5204081632653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</row>
    <row r="2" customFormat="false" ht="12.8" hidden="false" customHeight="false" outlineLevel="0" collapsed="false">
      <c r="A2" s="0" t="n">
        <v>2204</v>
      </c>
      <c r="B2" s="0" t="n">
        <v>379.9</v>
      </c>
      <c r="C2" s="0" t="n">
        <f aca="false">$B$16*A2+$B$17</f>
        <v>359.385427893406</v>
      </c>
    </row>
    <row r="3" customFormat="false" ht="12.8" hidden="false" customHeight="false" outlineLevel="0" collapsed="false">
      <c r="A3" s="0" t="n">
        <v>3183</v>
      </c>
      <c r="B3" s="0" t="n">
        <v>375</v>
      </c>
      <c r="C3" s="0" t="n">
        <f aca="false">$B$16*A3+$B$17</f>
        <v>512.414756984556</v>
      </c>
    </row>
    <row r="4" customFormat="false" ht="12.8" hidden="false" customHeight="false" outlineLevel="0" collapsed="false">
      <c r="A4" s="0" t="n">
        <v>1128</v>
      </c>
      <c r="B4" s="0" t="n">
        <v>189.9</v>
      </c>
      <c r="C4" s="0" t="n">
        <f aca="false">$B$16*A4+$B$17</f>
        <v>191.193846583828</v>
      </c>
    </row>
    <row r="5" customFormat="false" ht="12.8" hidden="false" customHeight="false" outlineLevel="0" collapsed="false">
      <c r="A5" s="0" t="n">
        <v>1975</v>
      </c>
      <c r="B5" s="0" t="n">
        <v>338</v>
      </c>
      <c r="C5" s="0" t="n">
        <f aca="false">$B$16*A5+$B$17</f>
        <v>323.590007707631</v>
      </c>
    </row>
    <row r="6" customFormat="false" ht="12.8" hidden="false" customHeight="false" outlineLevel="0" collapsed="false">
      <c r="A6" s="0" t="n">
        <v>3101</v>
      </c>
      <c r="B6" s="0" t="n">
        <v>619.9</v>
      </c>
      <c r="C6" s="0" t="n">
        <f aca="false">$B$16*A6+$B$17</f>
        <v>499.597182944235</v>
      </c>
    </row>
    <row r="7" customFormat="false" ht="12.8" hidden="false" customHeight="false" outlineLevel="0" collapsed="false">
      <c r="A7" s="0" t="n">
        <v>2769</v>
      </c>
      <c r="B7" s="0" t="n">
        <v>370</v>
      </c>
      <c r="C7" s="0" t="n">
        <f aca="false">$B$16*A7+$B$17</f>
        <v>447.701639268788</v>
      </c>
    </row>
    <row r="8" customFormat="false" ht="12.8" hidden="false" customHeight="false" outlineLevel="0" collapsed="false">
      <c r="A8" s="0" t="n">
        <v>4113</v>
      </c>
      <c r="B8" s="0" t="n">
        <v>627.7</v>
      </c>
      <c r="C8" s="0" t="n">
        <f aca="false">$B$16*A8+$B$17</f>
        <v>657.784804027221</v>
      </c>
    </row>
    <row r="9" customFormat="false" ht="12.8" hidden="false" customHeight="false" outlineLevel="0" collapsed="false">
      <c r="A9" s="0" t="n">
        <v>2198</v>
      </c>
      <c r="B9" s="0" t="n">
        <v>375</v>
      </c>
      <c r="C9" s="0" t="n">
        <f aca="false">$B$16*A9+$B$17</f>
        <v>358.447556622163</v>
      </c>
    </row>
    <row r="10" customFormat="false" ht="12.8" hidden="false" customHeight="false" outlineLevel="0" collapsed="false">
      <c r="A10" s="0" t="n">
        <v>2609</v>
      </c>
      <c r="B10" s="0" t="n">
        <v>425</v>
      </c>
      <c r="C10" s="0" t="n">
        <f aca="false">$B$16*A10+$B$17</f>
        <v>422.691738702308</v>
      </c>
    </row>
    <row r="11" customFormat="false" ht="12.8" hidden="false" customHeight="false" outlineLevel="0" collapsed="false">
      <c r="A11" s="0" t="n">
        <v>1708</v>
      </c>
      <c r="B11" s="0" t="n">
        <v>298.1</v>
      </c>
      <c r="C11" s="0" t="n">
        <f aca="false">$B$16*A11+$B$17</f>
        <v>281.854736137318</v>
      </c>
    </row>
    <row r="12" customFormat="false" ht="12.8" hidden="false" customHeight="false" outlineLevel="0" collapsed="false">
      <c r="A12" s="0" t="n">
        <v>1786</v>
      </c>
      <c r="B12" s="0" t="n">
        <v>271</v>
      </c>
      <c r="C12" s="0" t="n">
        <f aca="false">$B$16*A12+$B$17</f>
        <v>294.047062663477</v>
      </c>
    </row>
    <row r="13" customFormat="false" ht="12.8" hidden="false" customHeight="false" outlineLevel="0" collapsed="false">
      <c r="A13" s="0" t="n">
        <v>3813</v>
      </c>
      <c r="B13" s="0" t="n">
        <v>690.1</v>
      </c>
      <c r="C13" s="0" t="n">
        <f aca="false">$B$16*A13+$B$17</f>
        <v>610.891240465071</v>
      </c>
    </row>
    <row r="15" customFormat="false" ht="12.8" hidden="false" customHeight="false" outlineLevel="0" collapsed="false">
      <c r="A15" s="0" t="s">
        <v>3</v>
      </c>
      <c r="B15" s="0" t="n">
        <f aca="false">CORREL(A2:A13,B2:B13)</f>
        <v>0.902565959314061</v>
      </c>
    </row>
    <row r="16" customFormat="false" ht="12.8" hidden="false" customHeight="false" outlineLevel="0" collapsed="false">
      <c r="A16" s="0" t="s">
        <v>4</v>
      </c>
      <c r="B16" s="0" t="n">
        <f aca="false">SLOPE(B2:B13,A2:A13)</f>
        <v>0.1563118785405</v>
      </c>
    </row>
    <row r="17" customFormat="false" ht="12.8" hidden="false" customHeight="false" outlineLevel="0" collapsed="false">
      <c r="A17" s="0" t="s">
        <v>5</v>
      </c>
      <c r="B17" s="0" t="n">
        <f aca="false">INTERCEPT(B2:B13,A2:A13)</f>
        <v>14.8740475901433</v>
      </c>
    </row>
    <row r="18" customFormat="false" ht="12.8" hidden="false" customHeight="false" outlineLevel="0" collapsed="false">
      <c r="A18" s="0" t="s">
        <v>6</v>
      </c>
      <c r="B18" s="0" t="n">
        <f aca="false">COUNT(A2:A13)</f>
        <v>12</v>
      </c>
    </row>
    <row r="19" customFormat="false" ht="12.8" hidden="false" customHeight="false" outlineLevel="0" collapsed="false">
      <c r="A19" s="0" t="s">
        <v>7</v>
      </c>
      <c r="B19" s="0" t="n">
        <v>0.576</v>
      </c>
    </row>
    <row r="22" customFormat="false" ht="12.8" hidden="false" customHeight="false" outlineLevel="0" collapsed="false">
      <c r="A22" s="0" t="n">
        <v>1465</v>
      </c>
      <c r="B22" s="0" t="n">
        <v>285</v>
      </c>
      <c r="C22" s="0" t="n">
        <f aca="false">$B$16*A22+$B$17</f>
        <v>243.870949651976</v>
      </c>
    </row>
    <row r="23" customFormat="false" ht="12.8" hidden="false" customHeight="false" outlineLevel="0" collapsed="false">
      <c r="B23" s="0" t="s">
        <v>8</v>
      </c>
      <c r="C23" s="0" t="n">
        <f aca="false">B22-C22</f>
        <v>41.1290503480239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19</TotalTime>
  <Application>LibreOffice/5.1.5.2$Windows_x86 LibreOffice_project/7a864d8825610a8c07cfc3bc01dd4fce6a9447e5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2021-05-20T22:19:07Z</dcterms:created>
  <dc:creator/>
  <dc:description/>
  <dc:language>en-US</dc:language>
  <cp:lastModifiedBy/>
  <dcterms:modified xsi:type="dcterms:W3CDTF">2021-05-20T22:38:59Z</dcterms:modified>
  <cp:revision>4</cp:revision>
  <dc:subject/>
  <dc:title/>
</cp:coreProperties>
</file>