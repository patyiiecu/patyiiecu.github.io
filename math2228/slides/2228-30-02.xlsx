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<sst xmlns="http://schemas.openxmlformats.org/spreadsheetml/2006/main" count="9" uniqueCount="9">
  <si>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x</t>
  </si>
  <si>
    <t xml:space="preserve">i</t>
  </si>
  <si>
    <t xml:space="preserve">f_i=(i-3/8)/(n+1/4)</t>
  </si>
  <si>
    <t xml:space="preserve">z-score</t>
  </si>
  <si>
    <t xml:space="preserve">correlation</t>
  </si>
  <si>
    <t xml:space="preserve">n</t>
  </si>
  <si>
    <t xml:space="preserve">c_crit(20)</t>
  </si>
  <si>
    <t xml:space="preserve">corr&lt;c_crit(20)</t>
  </si>
  <si>
    <t xml:space="preserve">So not normal enough.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</si>
</sst>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QQ normal plot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z-score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Sheet1!$B$2:$B$21</c:f>
              <c:numCache>
                <c:formatCode>General</c:formatCode>
                <c:ptCount val="20"/>
                <c:pt idx="0">
                  <c:v>750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2000</c:v>
                </c:pt>
                <c:pt idx="5">
                  <c:v>2200</c:v>
                </c:pt>
                <c:pt idx="6">
                  <c:v>2200</c:v>
                </c:pt>
                <c:pt idx="7">
                  <c:v>2500</c:v>
                </c:pt>
                <c:pt idx="8">
                  <c:v>2500</c:v>
                </c:pt>
                <c:pt idx="9">
                  <c:v>2800</c:v>
                </c:pt>
                <c:pt idx="10">
                  <c:v>3800</c:v>
                </c:pt>
                <c:pt idx="11">
                  <c:v>5000</c:v>
                </c:pt>
                <c:pt idx="12">
                  <c:v>6200</c:v>
                </c:pt>
                <c:pt idx="13">
                  <c:v>9100</c:v>
                </c:pt>
                <c:pt idx="14">
                  <c:v>10100</c:v>
                </c:pt>
                <c:pt idx="15">
                  <c:v>12000</c:v>
                </c:pt>
                <c:pt idx="16">
                  <c:v>13200</c:v>
                </c:pt>
                <c:pt idx="17">
                  <c:v>14000</c:v>
                </c:pt>
                <c:pt idx="18">
                  <c:v>16000</c:v>
                </c:pt>
                <c:pt idx="19">
                  <c:v>29000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-1.86824165486393</c:v>
                </c:pt>
                <c:pt idx="1">
                  <c:v>-1.4034126358514</c:v>
                </c:pt>
                <c:pt idx="2">
                  <c:v>-1.12814364527876</c:v>
                </c:pt>
                <c:pt idx="3">
                  <c:v>-0.91913552204621</c:v>
                </c:pt>
                <c:pt idx="4">
                  <c:v>-0.744142742220167</c:v>
                </c:pt>
                <c:pt idx="5">
                  <c:v>-0.589455797849779</c:v>
                </c:pt>
                <c:pt idx="6">
                  <c:v>-0.447767518482949</c:v>
                </c:pt>
                <c:pt idx="7">
                  <c:v>-0.314572291838885</c:v>
                </c:pt>
                <c:pt idx="8">
                  <c:v>-0.186756121063737</c:v>
                </c:pt>
                <c:pt idx="9">
                  <c:v>-0.0619316234553173</c:v>
                </c:pt>
                <c:pt idx="10">
                  <c:v>0.0619316234553173</c:v>
                </c:pt>
                <c:pt idx="11">
                  <c:v>0.186756121063737</c:v>
                </c:pt>
                <c:pt idx="12">
                  <c:v>0.314572291838885</c:v>
                </c:pt>
                <c:pt idx="13">
                  <c:v>0.447767518482949</c:v>
                </c:pt>
                <c:pt idx="14">
                  <c:v>0.589455797849779</c:v>
                </c:pt>
                <c:pt idx="15">
                  <c:v>0.744142742220167</c:v>
                </c:pt>
                <c:pt idx="16">
                  <c:v>0.91913552204621</c:v>
                </c:pt>
                <c:pt idx="17">
                  <c:v>1.12814364527876</c:v>
                </c:pt>
                <c:pt idx="18">
                  <c:v>1.4034126358514</c:v>
                </c:pt>
                <c:pt idx="19">
                  <c:v>1.86824165486393</c:v>
                </c:pt>
              </c:numCache>
            </c:numRef>
          </c:yVal>
          <c:smooth val="0"/>
        </c:ser>
        <c:axId val="89276732"/>
        <c:axId val="39855737"/>
      </c:scatterChart>
      <c:valAx>
        <c:axId val="89276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(observed quantity)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9855737"/>
        <c:crosses val="autoZero"/>
        <c:crossBetween val="midCat"/>
      </c:valAx>
      <c:valAx>
        <c:axId val="3985573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927673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68040</xdr:colOff>
      <xdr:row>0</xdr:row>
      <xdr:rowOff>14760</xdr:rowOff>
    </xdr:from>
    <xdr:to>
      <xdr:col>14</xdr:col>
      <xdr:colOff>137880</xdr:colOff>
      <xdr:row>20</xdr:row>
      <xdr:rowOff>3240</xdr:rowOff>
    </xdr:to>
    <xdr:graphicFrame>
      <xdr:nvGraphicFramePr>
        <xdr:cNvPr id="0" name=""/>
        <xdr:cNvGraphicFramePr/>
      </xdr:nvGraphicFramePr>
      <xdr:xfrm>
        <a:off x="5506560" y="14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2.8"/>
  <cols>
    <col collapsed="false" hidden="false" max="2" min="1" style="0" width="6.3469387755102"/>
    <col collapsed="false" hidden="false" max="3" min="3" style="0" width="3.39285714285714"/>
    <col collapsed="false" hidden="false" max="4" min="4" style="0" width="15.3877551020408"/>
    <col collapsed="false" hidden="false" max="5" min="5" style="0" width="13.3571428571429"/>
    <col collapsed="false" hidden="false" max="6" min="6" style="0" width="19.530612244898"/>
    <col collapsed="false" hidden="false" max="7" min="7" style="0" width="12.7244897959184"/>
    <col collapsed="false" hidden="false" max="1025" min="8" style="0" width="11.520408163265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n">
        <f aca="false">CORREL(B2:B21,E2:E21)</f>
        <v>0.882966988322216</v>
      </c>
    </row>
    <row r="2" customFormat="false" ht="12.8" hidden="false" customHeight="false" outlineLevel="0" collapsed="false">
      <c r="A2" s="0" t="n">
        <v>2500</v>
      </c>
      <c r="B2" s="0" t="n">
        <v>750</v>
      </c>
      <c r="C2" s="0" t="n">
        <v>1</v>
      </c>
      <c r="D2" s="1" t="n">
        <f aca="false">(C2-3/8)/($C$21+1/4)</f>
        <v>0.0308641975308642</v>
      </c>
      <c r="E2" s="1" t="n">
        <f aca="false">_xlfn.NORM.INV(D2,0,1)</f>
        <v>-1.86824165486393</v>
      </c>
      <c r="F2" s="2" t="s">
        <v>5</v>
      </c>
      <c r="G2" s="0" t="n">
        <v>20</v>
      </c>
    </row>
    <row r="3" customFormat="false" ht="12.8" hidden="false" customHeight="false" outlineLevel="0" collapsed="false">
      <c r="A3" s="0" t="n">
        <v>1000</v>
      </c>
      <c r="B3" s="0" t="n">
        <v>1000</v>
      </c>
      <c r="C3" s="0" t="n">
        <v>2</v>
      </c>
      <c r="D3" s="1" t="n">
        <f aca="false">(C3-3/8)/($C$21+1/4)</f>
        <v>0.0802469135802469</v>
      </c>
      <c r="E3" s="1" t="n">
        <f aca="false">_xlfn.NORM.INV(D3,0,1)</f>
        <v>-1.4034126358514</v>
      </c>
      <c r="F3" s="2" t="s">
        <v>6</v>
      </c>
      <c r="G3" s="0" t="n">
        <v>0.951</v>
      </c>
    </row>
    <row r="4" customFormat="false" ht="12.8" hidden="false" customHeight="false" outlineLevel="0" collapsed="false">
      <c r="A4" s="0" t="n">
        <v>2000</v>
      </c>
      <c r="B4" s="0" t="n">
        <v>1400</v>
      </c>
      <c r="C4" s="0" t="n">
        <v>3</v>
      </c>
      <c r="D4" s="1" t="n">
        <f aca="false">(C4-3/8)/($C$21+1/4)</f>
        <v>0.12962962962963</v>
      </c>
      <c r="E4" s="1" t="n">
        <f aca="false">_xlfn.NORM.INV(D4,0,1)</f>
        <v>-1.12814364527876</v>
      </c>
      <c r="F4" s="2" t="s">
        <v>7</v>
      </c>
    </row>
    <row r="5" customFormat="false" ht="12.8" hidden="false" customHeight="false" outlineLevel="0" collapsed="false">
      <c r="A5" s="0" t="n">
        <v>14000</v>
      </c>
      <c r="B5" s="0" t="n">
        <v>1800</v>
      </c>
      <c r="C5" s="0" t="n">
        <v>4</v>
      </c>
      <c r="D5" s="1" t="n">
        <f aca="false">(C5-3/8)/($C$21+1/4)</f>
        <v>0.179012345679012</v>
      </c>
      <c r="E5" s="1" t="n">
        <f aca="false">_xlfn.NORM.INV(D5,0,1)</f>
        <v>-0.91913552204621</v>
      </c>
      <c r="F5" s="2" t="s">
        <v>8</v>
      </c>
    </row>
    <row r="6" customFormat="false" ht="12.8" hidden="false" customHeight="false" outlineLevel="0" collapsed="false">
      <c r="A6" s="0" t="n">
        <v>1800</v>
      </c>
      <c r="B6" s="0" t="n">
        <v>2000</v>
      </c>
      <c r="C6" s="0" t="n">
        <v>5</v>
      </c>
      <c r="D6" s="1" t="n">
        <f aca="false">(C6-3/8)/($C$21+1/4)</f>
        <v>0.228395061728395</v>
      </c>
      <c r="E6" s="1" t="n">
        <f aca="false">_xlfn.NORM.INV(D6,0,1)</f>
        <v>-0.744142742220167</v>
      </c>
    </row>
    <row r="7" customFormat="false" ht="12.8" hidden="false" customHeight="false" outlineLevel="0" collapsed="false">
      <c r="A7" s="0" t="n">
        <v>3800</v>
      </c>
      <c r="B7" s="0" t="n">
        <v>2200</v>
      </c>
      <c r="C7" s="0" t="n">
        <v>6</v>
      </c>
      <c r="D7" s="1" t="n">
        <f aca="false">(C7-3/8)/($C$21+1/4)</f>
        <v>0.277777777777778</v>
      </c>
      <c r="E7" s="1" t="n">
        <f aca="false">_xlfn.NORM.INV(D7,0,1)</f>
        <v>-0.589455797849779</v>
      </c>
    </row>
    <row r="8" customFormat="false" ht="12.8" hidden="false" customHeight="false" outlineLevel="0" collapsed="false">
      <c r="A8" s="0" t="n">
        <v>10100</v>
      </c>
      <c r="B8" s="0" t="n">
        <v>2200</v>
      </c>
      <c r="C8" s="0" t="n">
        <v>7</v>
      </c>
      <c r="D8" s="1" t="n">
        <f aca="false">(C8-3/8)/($C$21+1/4)</f>
        <v>0.32716049382716</v>
      </c>
      <c r="E8" s="1" t="n">
        <f aca="false">_xlfn.NORM.INV(D8,0,1)</f>
        <v>-0.447767518482949</v>
      </c>
    </row>
    <row r="9" customFormat="false" ht="12.8" hidden="false" customHeight="false" outlineLevel="0" collapsed="false">
      <c r="A9" s="0" t="n">
        <v>2200</v>
      </c>
      <c r="B9" s="0" t="n">
        <v>2500</v>
      </c>
      <c r="C9" s="0" t="n">
        <v>8</v>
      </c>
      <c r="D9" s="1" t="n">
        <f aca="false">(C9-3/8)/($C$21+1/4)</f>
        <v>0.376543209876543</v>
      </c>
      <c r="E9" s="1" t="n">
        <f aca="false">_xlfn.NORM.INV(D9,0,1)</f>
        <v>-0.314572291838885</v>
      </c>
    </row>
    <row r="10" customFormat="false" ht="12.8" hidden="false" customHeight="false" outlineLevel="0" collapsed="false">
      <c r="A10" s="0" t="n">
        <v>29000</v>
      </c>
      <c r="B10" s="0" t="n">
        <v>2500</v>
      </c>
      <c r="C10" s="0" t="n">
        <v>9</v>
      </c>
      <c r="D10" s="1" t="n">
        <f aca="false">(C10-3/8)/($C$21+1/4)</f>
        <v>0.425925925925926</v>
      </c>
      <c r="E10" s="1" t="n">
        <f aca="false">_xlfn.NORM.INV(D10,0,1)</f>
        <v>-0.186756121063737</v>
      </c>
    </row>
    <row r="11" customFormat="false" ht="12.8" hidden="false" customHeight="false" outlineLevel="0" collapsed="false">
      <c r="A11" s="0" t="n">
        <v>16000</v>
      </c>
      <c r="B11" s="0" t="n">
        <v>2800</v>
      </c>
      <c r="C11" s="0" t="n">
        <v>10</v>
      </c>
      <c r="D11" s="1" t="n">
        <f aca="false">(C11-3/8)/($C$21+1/4)</f>
        <v>0.475308641975309</v>
      </c>
      <c r="E11" s="1" t="n">
        <f aca="false">_xlfn.NORM.INV(D11,0,1)</f>
        <v>-0.0619316234553173</v>
      </c>
    </row>
    <row r="12" customFormat="false" ht="12.8" hidden="false" customHeight="false" outlineLevel="0" collapsed="false">
      <c r="A12" s="0" t="n">
        <v>5000</v>
      </c>
      <c r="B12" s="0" t="n">
        <v>3800</v>
      </c>
      <c r="C12" s="0" t="n">
        <v>11</v>
      </c>
      <c r="D12" s="1" t="n">
        <f aca="false">(C12-3/8)/($C$21+1/4)</f>
        <v>0.524691358024691</v>
      </c>
      <c r="E12" s="1" t="n">
        <f aca="false">_xlfn.NORM.INV(D12,0,1)</f>
        <v>0.0619316234553173</v>
      </c>
    </row>
    <row r="13" customFormat="false" ht="12.8" hidden="false" customHeight="false" outlineLevel="0" collapsed="false">
      <c r="A13" s="0" t="n">
        <v>2200</v>
      </c>
      <c r="B13" s="0" t="n">
        <v>5000</v>
      </c>
      <c r="C13" s="0" t="n">
        <v>12</v>
      </c>
      <c r="D13" s="1" t="n">
        <f aca="false">(C13-3/8)/($C$21+1/4)</f>
        <v>0.574074074074074</v>
      </c>
      <c r="E13" s="1" t="n">
        <f aca="false">_xlfn.NORM.INV(D13,0,1)</f>
        <v>0.186756121063737</v>
      </c>
    </row>
    <row r="14" customFormat="false" ht="12.8" hidden="false" customHeight="false" outlineLevel="0" collapsed="false">
      <c r="A14" s="0" t="n">
        <v>6200</v>
      </c>
      <c r="B14" s="0" t="n">
        <v>6200</v>
      </c>
      <c r="C14" s="0" t="n">
        <v>13</v>
      </c>
      <c r="D14" s="1" t="n">
        <f aca="false">(C14-3/8)/($C$21+1/4)</f>
        <v>0.623456790123457</v>
      </c>
      <c r="E14" s="1" t="n">
        <f aca="false">_xlfn.NORM.INV(D14,0,1)</f>
        <v>0.314572291838885</v>
      </c>
    </row>
    <row r="15" customFormat="false" ht="12.8" hidden="false" customHeight="false" outlineLevel="0" collapsed="false">
      <c r="A15" s="0" t="n">
        <v>9100</v>
      </c>
      <c r="B15" s="0" t="n">
        <v>9100</v>
      </c>
      <c r="C15" s="0" t="n">
        <v>14</v>
      </c>
      <c r="D15" s="1" t="n">
        <f aca="false">(C15-3/8)/($C$21+1/4)</f>
        <v>0.67283950617284</v>
      </c>
      <c r="E15" s="1" t="n">
        <f aca="false">_xlfn.NORM.INV(D15,0,1)</f>
        <v>0.447767518482949</v>
      </c>
    </row>
    <row r="16" customFormat="false" ht="12.8" hidden="false" customHeight="false" outlineLevel="0" collapsed="false">
      <c r="A16" s="0" t="n">
        <v>2800</v>
      </c>
      <c r="B16" s="0" t="n">
        <v>10100</v>
      </c>
      <c r="C16" s="0" t="n">
        <v>15</v>
      </c>
      <c r="D16" s="1" t="n">
        <f aca="false">(C16-3/8)/($C$21+1/4)</f>
        <v>0.722222222222222</v>
      </c>
      <c r="E16" s="1" t="n">
        <f aca="false">_xlfn.NORM.INV(D16,0,1)</f>
        <v>0.589455797849779</v>
      </c>
    </row>
    <row r="17" customFormat="false" ht="12.8" hidden="false" customHeight="false" outlineLevel="0" collapsed="false">
      <c r="A17" s="0" t="n">
        <v>2500</v>
      </c>
      <c r="B17" s="0" t="n">
        <v>12000</v>
      </c>
      <c r="C17" s="0" t="n">
        <v>16</v>
      </c>
      <c r="D17" s="1" t="n">
        <f aca="false">(C17-3/8)/($C$21+1/4)</f>
        <v>0.771604938271605</v>
      </c>
      <c r="E17" s="1" t="n">
        <f aca="false">_xlfn.NORM.INV(D17,0,1)</f>
        <v>0.744142742220167</v>
      </c>
    </row>
    <row r="18" customFormat="false" ht="12.8" hidden="false" customHeight="false" outlineLevel="0" collapsed="false">
      <c r="A18" s="0" t="n">
        <v>1400</v>
      </c>
      <c r="B18" s="0" t="n">
        <v>13200</v>
      </c>
      <c r="C18" s="0" t="n">
        <v>17</v>
      </c>
      <c r="D18" s="1" t="n">
        <f aca="false">(C18-3/8)/($C$21+1/4)</f>
        <v>0.820987654320988</v>
      </c>
      <c r="E18" s="1" t="n">
        <f aca="false">_xlfn.NORM.INV(D18,0,1)</f>
        <v>0.91913552204621</v>
      </c>
    </row>
    <row r="19" customFormat="false" ht="12.8" hidden="false" customHeight="false" outlineLevel="0" collapsed="false">
      <c r="A19" s="0" t="n">
        <v>13200</v>
      </c>
      <c r="B19" s="0" t="n">
        <v>14000</v>
      </c>
      <c r="C19" s="0" t="n">
        <v>18</v>
      </c>
      <c r="D19" s="1" t="n">
        <f aca="false">(C19-3/8)/($C$21+1/4)</f>
        <v>0.87037037037037</v>
      </c>
      <c r="E19" s="1" t="n">
        <f aca="false">_xlfn.NORM.INV(D19,0,1)</f>
        <v>1.12814364527876</v>
      </c>
    </row>
    <row r="20" customFormat="false" ht="12.8" hidden="false" customHeight="false" outlineLevel="0" collapsed="false">
      <c r="A20" s="0" t="n">
        <v>750</v>
      </c>
      <c r="B20" s="0" t="n">
        <v>16000</v>
      </c>
      <c r="C20" s="0" t="n">
        <v>19</v>
      </c>
      <c r="D20" s="1" t="n">
        <f aca="false">(C20-3/8)/($C$21+1/4)</f>
        <v>0.919753086419753</v>
      </c>
      <c r="E20" s="1" t="n">
        <f aca="false">_xlfn.NORM.INV(D20,0,1)</f>
        <v>1.4034126358514</v>
      </c>
    </row>
    <row r="21" customFormat="false" ht="12.8" hidden="false" customHeight="false" outlineLevel="0" collapsed="false">
      <c r="A21" s="0" t="n">
        <v>12000</v>
      </c>
      <c r="B21" s="0" t="n">
        <v>29000</v>
      </c>
      <c r="C21" s="0" t="n">
        <v>20</v>
      </c>
      <c r="D21" s="1" t="n">
        <f aca="false">(C21-3/8)/($C$21+1/4)</f>
        <v>0.969135802469136</v>
      </c>
      <c r="E21" s="1" t="n">
        <f aca="false">_xlfn.NORM.INV(D21,0,1)</f>
        <v>1.86824165486393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2021-05-29T20:16:31Z</dcterms:created>
  <dc:creator/>
  <dc:description/>
  <dc:language>en-US</dc:language>
  <cp:lastModifiedBy/>
  <dcterms:modified xsi:type="dcterms:W3CDTF">2021-05-29T20:39:43Z</dcterms:modified>
  <cp:revision>3</cp:revision>
  <dc:subject/>
  <dc:title/>
</cp:coreProperties>
</file>