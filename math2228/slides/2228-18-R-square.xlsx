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<sst xmlns="http://schemas.openxmlformats.org/spreadsheetml/2006/main" count="26" uniqueCount="16">
  <si>
    <t xml:space="preserve">Data Set A </t>
  </si>
  <si>
    <t xml:space="preserve">Data Set B </t>
  </si>
  <si>
    <t xml:space="preserve">Data Set C</t>
  </si>
  <si>
    <t xml:space="preserve">x</t>
  </si>
  <si>
    <t xml:space="preserve">y</t>
  </si>
  <si>
    <t xml:space="preserve">y hat</t>
  </si>
  <si>
    <t xml:space="preserve">y hat- y bar</t>
  </si>
  <si>
    <t xml:space="preserve">y-y bar</t>
  </si>
  <si>
    <t xml:space="preserve">mean</t>
  </si>
  <si>
    <t xml:space="preserve">slope</t>
  </si>
  <si>
    <t xml:space="preserve">intercept</t>
  </si>
  <si>
    <t xml:space="preserve">(correlation coefficient)=r</t>
  </si>
  <si>
    <t xml:space="preserve">(coefficient of determination)=R^2</t>
  </si>
  <si>
    <t xml:space="preserve">R^2-r^2</t>
  </si>
  <si>
    <t xml:space="preserve">(y hat-y bar)^2/(y-y bar)^2</t>
  </si>
  <si>
    <t xml:space="preserve">R^2-(y hat-y bar)^2/(y-y bar)^2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</si>
</sst>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Data Set A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Sheet1!$A$3:$A$12</c:f>
              <c:numCache>
                <c:formatCode>General</c:formatCode>
                <c:ptCount val="10"/>
                <c:pt idx="0">
                  <c:v>3.6</c:v>
                </c:pt>
                <c:pt idx="1">
                  <c:v>8.3</c:v>
                </c:pt>
                <c:pt idx="2">
                  <c:v>0.5</c:v>
                </c:pt>
                <c:pt idx="3">
                  <c:v>1.4</c:v>
                </c:pt>
                <c:pt idx="4">
                  <c:v>8.2</c:v>
                </c:pt>
                <c:pt idx="5">
                  <c:v>5.9</c:v>
                </c:pt>
                <c:pt idx="6">
                  <c:v>4.3</c:v>
                </c:pt>
                <c:pt idx="7">
                  <c:v>8.3</c:v>
                </c:pt>
                <c:pt idx="8">
                  <c:v>0.3</c:v>
                </c:pt>
                <c:pt idx="9">
                  <c:v>6.8</c:v>
                </c:pt>
              </c:numCache>
            </c:numRef>
          </c:xVal>
          <c:yVal>
            <c:numRef>
              <c:f>Sheet1!$B$3:$B$12</c:f>
              <c:numCache>
                <c:formatCode>General</c:formatCode>
                <c:ptCount val="10"/>
                <c:pt idx="0">
                  <c:v>8.9</c:v>
                </c:pt>
                <c:pt idx="1">
                  <c:v>15</c:v>
                </c:pt>
                <c:pt idx="2">
                  <c:v>4.8</c:v>
                </c:pt>
                <c:pt idx="3">
                  <c:v>6</c:v>
                </c:pt>
                <c:pt idx="4">
                  <c:v>14.9</c:v>
                </c:pt>
                <c:pt idx="5">
                  <c:v>11.9</c:v>
                </c:pt>
                <c:pt idx="6">
                  <c:v>9.8</c:v>
                </c:pt>
                <c:pt idx="7">
                  <c:v>15</c:v>
                </c:pt>
                <c:pt idx="8">
                  <c:v>4.7</c:v>
                </c:pt>
                <c:pt idx="9">
                  <c:v>13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y hat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Sheet1!$A$3:$A$12</c:f>
              <c:numCache>
                <c:formatCode>General</c:formatCode>
                <c:ptCount val="10"/>
                <c:pt idx="0">
                  <c:v>3.6</c:v>
                </c:pt>
                <c:pt idx="1">
                  <c:v>8.3</c:v>
                </c:pt>
                <c:pt idx="2">
                  <c:v>0.5</c:v>
                </c:pt>
                <c:pt idx="3">
                  <c:v>1.4</c:v>
                </c:pt>
                <c:pt idx="4">
                  <c:v>8.2</c:v>
                </c:pt>
                <c:pt idx="5">
                  <c:v>5.9</c:v>
                </c:pt>
                <c:pt idx="6">
                  <c:v>4.3</c:v>
                </c:pt>
                <c:pt idx="7">
                  <c:v>8.3</c:v>
                </c:pt>
                <c:pt idx="8">
                  <c:v>0.3</c:v>
                </c:pt>
                <c:pt idx="9">
                  <c:v>6.8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8.89296040495903</c:v>
                </c:pt>
                <c:pt idx="1">
                  <c:v>14.9990691090043</c:v>
                </c:pt>
                <c:pt idx="2">
                  <c:v>4.86552700441851</c:v>
                </c:pt>
                <c:pt idx="3">
                  <c:v>6.03478186263996</c:v>
                </c:pt>
                <c:pt idx="4">
                  <c:v>14.8691519025353</c:v>
                </c:pt>
                <c:pt idx="5">
                  <c:v>11.8810561537472</c:v>
                </c:pt>
                <c:pt idx="6">
                  <c:v>9.80238085024238</c:v>
                </c:pt>
                <c:pt idx="7">
                  <c:v>14.9990691090043</c:v>
                </c:pt>
                <c:pt idx="8">
                  <c:v>4.60569259148042</c:v>
                </c:pt>
                <c:pt idx="9">
                  <c:v>13.0503110119686</c:v>
                </c:pt>
              </c:numCache>
            </c:numRef>
          </c:yVal>
          <c:smooth val="0"/>
        </c:ser>
        <c:axId val="41739134"/>
        <c:axId val="29551765"/>
      </c:scatterChart>
      <c:valAx>
        <c:axId val="417391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9551765"/>
        <c:crosses val="autoZero"/>
        <c:crossBetween val="midCat"/>
      </c:valAx>
      <c:valAx>
        <c:axId val="2955176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173913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Data Set B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Sheet1!$F$3:$F$12</c:f>
              <c:numCache>
                <c:formatCode>General</c:formatCode>
                <c:ptCount val="10"/>
                <c:pt idx="0">
                  <c:v>3.1</c:v>
                </c:pt>
                <c:pt idx="1">
                  <c:v>9.4</c:v>
                </c:pt>
                <c:pt idx="2">
                  <c:v>1.2</c:v>
                </c:pt>
                <c:pt idx="3">
                  <c:v>1</c:v>
                </c:pt>
                <c:pt idx="4">
                  <c:v>9</c:v>
                </c:pt>
                <c:pt idx="5">
                  <c:v>5</c:v>
                </c:pt>
                <c:pt idx="6">
                  <c:v>3.4</c:v>
                </c:pt>
                <c:pt idx="7">
                  <c:v>7.4</c:v>
                </c:pt>
                <c:pt idx="8">
                  <c:v>0.1</c:v>
                </c:pt>
                <c:pt idx="9">
                  <c:v>7.5</c:v>
                </c:pt>
              </c:numCache>
            </c:numRef>
          </c:xVal>
          <c:yVal>
            <c:numRef>
              <c:f>Sheet1!$G$3:$G$12</c:f>
              <c:numCache>
                <c:formatCode>General</c:formatCode>
                <c:ptCount val="10"/>
                <c:pt idx="0">
                  <c:v>8.9</c:v>
                </c:pt>
                <c:pt idx="1">
                  <c:v>15</c:v>
                </c:pt>
                <c:pt idx="2">
                  <c:v>4.8</c:v>
                </c:pt>
                <c:pt idx="3">
                  <c:v>6</c:v>
                </c:pt>
                <c:pt idx="4">
                  <c:v>14.9</c:v>
                </c:pt>
                <c:pt idx="5">
                  <c:v>11.9</c:v>
                </c:pt>
                <c:pt idx="6">
                  <c:v>9.8</c:v>
                </c:pt>
                <c:pt idx="7">
                  <c:v>15</c:v>
                </c:pt>
                <c:pt idx="8">
                  <c:v>4.7</c:v>
                </c:pt>
                <c:pt idx="9">
                  <c:v>13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y hat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Sheet1!$F$3:$F$12</c:f>
              <c:numCache>
                <c:formatCode>General</c:formatCode>
                <c:ptCount val="10"/>
                <c:pt idx="0">
                  <c:v>3.1</c:v>
                </c:pt>
                <c:pt idx="1">
                  <c:v>9.4</c:v>
                </c:pt>
                <c:pt idx="2">
                  <c:v>1.2</c:v>
                </c:pt>
                <c:pt idx="3">
                  <c:v>1</c:v>
                </c:pt>
                <c:pt idx="4">
                  <c:v>9</c:v>
                </c:pt>
                <c:pt idx="5">
                  <c:v>5</c:v>
                </c:pt>
                <c:pt idx="6">
                  <c:v>3.4</c:v>
                </c:pt>
                <c:pt idx="7">
                  <c:v>7.4</c:v>
                </c:pt>
                <c:pt idx="8">
                  <c:v>0.1</c:v>
                </c:pt>
                <c:pt idx="9">
                  <c:v>7.5</c:v>
                </c:pt>
              </c:numCache>
            </c:numRef>
          </c:xVal>
          <c:yVal>
            <c:numRef>
              <c:f>Sheet1!$H$3:$H$12</c:f>
              <c:numCache>
                <c:formatCode>General</c:formatCode>
                <c:ptCount val="10"/>
                <c:pt idx="0">
                  <c:v>8.5007382243418</c:v>
                </c:pt>
                <c:pt idx="1">
                  <c:v>15.9326321290913</c:v>
                </c:pt>
                <c:pt idx="2">
                  <c:v>6.2593733959253</c:v>
                </c:pt>
                <c:pt idx="3">
                  <c:v>6.02344025609198</c:v>
                </c:pt>
                <c:pt idx="4">
                  <c:v>15.4607658494246</c:v>
                </c:pt>
                <c:pt idx="5">
                  <c:v>10.7421030527583</c:v>
                </c:pt>
                <c:pt idx="6">
                  <c:v>8.85463793409178</c:v>
                </c:pt>
                <c:pt idx="7">
                  <c:v>13.5733007307581</c:v>
                </c:pt>
                <c:pt idx="8">
                  <c:v>4.96174112684206</c:v>
                </c:pt>
                <c:pt idx="9">
                  <c:v>13.6912673006748</c:v>
                </c:pt>
              </c:numCache>
            </c:numRef>
          </c:yVal>
          <c:smooth val="0"/>
        </c:ser>
        <c:axId val="43600148"/>
        <c:axId val="37027393"/>
      </c:scatterChart>
      <c:valAx>
        <c:axId val="436001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7027393"/>
        <c:crosses val="autoZero"/>
        <c:crossBetween val="midCat"/>
      </c:valAx>
      <c:valAx>
        <c:axId val="3702739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3600148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Data Set C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Sheet1!$K$3:$K$12</c:f>
              <c:numCache>
                <c:formatCode>General</c:formatCode>
                <c:ptCount val="10"/>
                <c:pt idx="0">
                  <c:v>2.8</c:v>
                </c:pt>
                <c:pt idx="1">
                  <c:v>8.1</c:v>
                </c:pt>
                <c:pt idx="2">
                  <c:v>3</c:v>
                </c:pt>
                <c:pt idx="3">
                  <c:v>8.3</c:v>
                </c:pt>
                <c:pt idx="4">
                  <c:v>8.2</c:v>
                </c:pt>
                <c:pt idx="5">
                  <c:v>1.4</c:v>
                </c:pt>
                <c:pt idx="6">
                  <c:v>1</c:v>
                </c:pt>
                <c:pt idx="7">
                  <c:v>7.9</c:v>
                </c:pt>
                <c:pt idx="8">
                  <c:v>5.9</c:v>
                </c:pt>
                <c:pt idx="9">
                  <c:v>5</c:v>
                </c:pt>
              </c:numCache>
            </c:numRef>
          </c:xVal>
          <c:yVal>
            <c:numRef>
              <c:f>Sheet1!$L$3:$L$12</c:f>
              <c:numCache>
                <c:formatCode>General</c:formatCode>
                <c:ptCount val="10"/>
                <c:pt idx="0">
                  <c:v>8.9</c:v>
                </c:pt>
                <c:pt idx="1">
                  <c:v>15</c:v>
                </c:pt>
                <c:pt idx="2">
                  <c:v>4.8</c:v>
                </c:pt>
                <c:pt idx="3">
                  <c:v>6</c:v>
                </c:pt>
                <c:pt idx="4">
                  <c:v>14.9</c:v>
                </c:pt>
                <c:pt idx="5">
                  <c:v>11.9</c:v>
                </c:pt>
                <c:pt idx="6">
                  <c:v>9.8</c:v>
                </c:pt>
                <c:pt idx="7">
                  <c:v>15</c:v>
                </c:pt>
                <c:pt idx="8">
                  <c:v>4.7</c:v>
                </c:pt>
                <c:pt idx="9">
                  <c:v>13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Sheet1!$M$2</c:f>
              <c:strCache>
                <c:ptCount val="1"/>
                <c:pt idx="0">
                  <c:v>y hat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Sheet1!$K$3:$K$12</c:f>
              <c:numCache>
                <c:formatCode>General</c:formatCode>
                <c:ptCount val="10"/>
                <c:pt idx="0">
                  <c:v>2.8</c:v>
                </c:pt>
                <c:pt idx="1">
                  <c:v>8.1</c:v>
                </c:pt>
                <c:pt idx="2">
                  <c:v>3</c:v>
                </c:pt>
                <c:pt idx="3">
                  <c:v>8.3</c:v>
                </c:pt>
                <c:pt idx="4">
                  <c:v>8.2</c:v>
                </c:pt>
                <c:pt idx="5">
                  <c:v>1.4</c:v>
                </c:pt>
                <c:pt idx="6">
                  <c:v>1</c:v>
                </c:pt>
                <c:pt idx="7">
                  <c:v>7.9</c:v>
                </c:pt>
                <c:pt idx="8">
                  <c:v>5.9</c:v>
                </c:pt>
                <c:pt idx="9">
                  <c:v>5</c:v>
                </c:pt>
              </c:numCache>
            </c:numRef>
          </c:xVal>
          <c:yVal>
            <c:numRef>
              <c:f>Sheet1!$M$3:$M$12</c:f>
              <c:numCache>
                <c:formatCode>General</c:formatCode>
                <c:ptCount val="10"/>
                <c:pt idx="0">
                  <c:v>9.36926610239472</c:v>
                </c:pt>
                <c:pt idx="1">
                  <c:v>11.6840498554913</c:v>
                </c:pt>
                <c:pt idx="2">
                  <c:v>9.45661643270025</c:v>
                </c:pt>
                <c:pt idx="3">
                  <c:v>11.7714001857969</c:v>
                </c:pt>
                <c:pt idx="4">
                  <c:v>11.7277250206441</c:v>
                </c:pt>
                <c:pt idx="5">
                  <c:v>8.75781379025599</c:v>
                </c:pt>
                <c:pt idx="6">
                  <c:v>8.58311312964492</c:v>
                </c:pt>
                <c:pt idx="7">
                  <c:v>11.5966995251858</c:v>
                </c:pt>
                <c:pt idx="8">
                  <c:v>10.7231962221305</c:v>
                </c:pt>
                <c:pt idx="9">
                  <c:v>10.3301197357556</c:v>
                </c:pt>
              </c:numCache>
            </c:numRef>
          </c:yVal>
          <c:smooth val="0"/>
        </c:ser>
        <c:axId val="53460533"/>
        <c:axId val="25668676"/>
      </c:scatterChart>
      <c:valAx>
        <c:axId val="534605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5668676"/>
        <c:crosses val="autoZero"/>
        <c:crossBetween val="midCat"/>
      </c:valAx>
      <c:valAx>
        <c:axId val="2566867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346053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34200</xdr:colOff>
      <xdr:row>22</xdr:row>
      <xdr:rowOff>2160</xdr:rowOff>
    </xdr:from>
    <xdr:to>
      <xdr:col>4</xdr:col>
      <xdr:colOff>792720</xdr:colOff>
      <xdr:row>41</xdr:row>
      <xdr:rowOff>153360</xdr:rowOff>
    </xdr:to>
    <xdr:graphicFrame>
      <xdr:nvGraphicFramePr>
        <xdr:cNvPr id="0" name=""/>
        <xdr:cNvGraphicFramePr/>
      </xdr:nvGraphicFramePr>
      <xdr:xfrm>
        <a:off x="34200" y="3578400"/>
        <a:ext cx="45766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25560</xdr:colOff>
      <xdr:row>22</xdr:row>
      <xdr:rowOff>19080</xdr:rowOff>
    </xdr:from>
    <xdr:to>
      <xdr:col>10</xdr:col>
      <xdr:colOff>18000</xdr:colOff>
      <xdr:row>42</xdr:row>
      <xdr:rowOff>7560</xdr:rowOff>
    </xdr:to>
    <xdr:graphicFrame>
      <xdr:nvGraphicFramePr>
        <xdr:cNvPr id="1" name=""/>
        <xdr:cNvGraphicFramePr/>
      </xdr:nvGraphicFramePr>
      <xdr:xfrm>
        <a:off x="4656600" y="3595320"/>
        <a:ext cx="405612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14400</xdr:colOff>
      <xdr:row>22</xdr:row>
      <xdr:rowOff>24840</xdr:rowOff>
    </xdr:from>
    <xdr:to>
      <xdr:col>15</xdr:col>
      <xdr:colOff>1080</xdr:colOff>
      <xdr:row>42</xdr:row>
      <xdr:rowOff>13320</xdr:rowOff>
    </xdr:to>
    <xdr:graphicFrame>
      <xdr:nvGraphicFramePr>
        <xdr:cNvPr id="2" name=""/>
        <xdr:cNvGraphicFramePr/>
      </xdr:nvGraphicFramePr>
      <xdr:xfrm>
        <a:off x="8709120" y="3601080"/>
        <a:ext cx="405072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P28" activeCellId="0" sqref="P28"/>
    </sheetView>
  </sheetViews>
  <sheetFormatPr defaultRowHeight="12.8"/>
  <cols>
    <col collapsed="false" hidden="false" max="1" min="1" style="0" width="19.5561224489796"/>
    <col collapsed="false" hidden="false" max="1025" min="2" style="0" width="11.5204081632653"/>
  </cols>
  <sheetData>
    <row r="1" customFormat="false" ht="12.8" hidden="false" customHeight="false" outlineLevel="0" collapsed="false">
      <c r="A1" s="0" t="s">
        <v>0</v>
      </c>
      <c r="F1" s="1" t="s">
        <v>1</v>
      </c>
      <c r="G1" s="1"/>
      <c r="H1" s="1"/>
      <c r="I1" s="1"/>
      <c r="J1" s="1"/>
      <c r="K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  <c r="D2" s="0" t="s">
        <v>6</v>
      </c>
      <c r="E2" s="0" t="s">
        <v>7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0" t="s">
        <v>3</v>
      </c>
      <c r="L2" s="0" t="s">
        <v>4</v>
      </c>
      <c r="M2" s="0" t="s">
        <v>5</v>
      </c>
      <c r="N2" s="0" t="s">
        <v>6</v>
      </c>
      <c r="O2" s="0" t="s">
        <v>7</v>
      </c>
    </row>
    <row r="3" customFormat="false" ht="12.8" hidden="false" customHeight="false" outlineLevel="0" collapsed="false">
      <c r="A3" s="0" t="n">
        <v>3.6</v>
      </c>
      <c r="B3" s="0" t="n">
        <v>8.9</v>
      </c>
      <c r="C3" s="0" t="n">
        <f aca="false">$B$15*A3+$B$16</f>
        <v>8.89296040495903</v>
      </c>
      <c r="D3" s="0" t="n">
        <f aca="false">C3-$B$14</f>
        <v>-1.50703959504097</v>
      </c>
      <c r="E3" s="0" t="n">
        <f aca="false">B3-$B$14</f>
        <v>-1.5</v>
      </c>
      <c r="F3" s="1" t="n">
        <v>3.1</v>
      </c>
      <c r="G3" s="1" t="n">
        <v>8.9</v>
      </c>
      <c r="H3" s="1" t="n">
        <f aca="false">$G$15*F3+$G$16</f>
        <v>8.5007382243418</v>
      </c>
      <c r="I3" s="1" t="n">
        <f aca="false">H3-$G$14</f>
        <v>-1.8992617756582</v>
      </c>
      <c r="J3" s="1" t="n">
        <f aca="false">G3-$G$14</f>
        <v>-1.5</v>
      </c>
      <c r="K3" s="0" t="n">
        <v>2.8</v>
      </c>
      <c r="L3" s="0" t="n">
        <v>8.9</v>
      </c>
      <c r="M3" s="0" t="n">
        <f aca="false">$L$15*K3+$L$16</f>
        <v>9.36926610239472</v>
      </c>
      <c r="N3" s="0" t="n">
        <f aca="false">M3-$L$14</f>
        <v>-1.03073389760529</v>
      </c>
      <c r="O3" s="0" t="n">
        <f aca="false">L3-$L$14</f>
        <v>-1.5</v>
      </c>
    </row>
    <row r="4" customFormat="false" ht="12.8" hidden="false" customHeight="false" outlineLevel="0" collapsed="false">
      <c r="A4" s="0" t="n">
        <v>8.3</v>
      </c>
      <c r="B4" s="0" t="n">
        <v>15</v>
      </c>
      <c r="C4" s="0" t="n">
        <f aca="false">$B$15*A4+$B$16</f>
        <v>14.9990691090043</v>
      </c>
      <c r="D4" s="0" t="n">
        <f aca="false">C4-$B$14</f>
        <v>4.59906910900433</v>
      </c>
      <c r="E4" s="0" t="n">
        <f aca="false">B4-$B$14</f>
        <v>4.6</v>
      </c>
      <c r="F4" s="1" t="n">
        <v>9.4</v>
      </c>
      <c r="G4" s="1" t="n">
        <v>15</v>
      </c>
      <c r="H4" s="1" t="n">
        <f aca="false">$G$15*F4+$G$16</f>
        <v>15.9326321290913</v>
      </c>
      <c r="I4" s="1" t="n">
        <f aca="false">H4-$G$14</f>
        <v>5.53263212909127</v>
      </c>
      <c r="J4" s="1" t="n">
        <f aca="false">G4-$G$14</f>
        <v>4.6</v>
      </c>
      <c r="K4" s="0" t="n">
        <v>8.1</v>
      </c>
      <c r="L4" s="0" t="n">
        <v>15</v>
      </c>
      <c r="M4" s="0" t="n">
        <f aca="false">$L$15*K4+$L$16</f>
        <v>11.6840498554913</v>
      </c>
      <c r="N4" s="0" t="n">
        <f aca="false">M4-$L$14</f>
        <v>1.28404985549133</v>
      </c>
      <c r="O4" s="0" t="n">
        <f aca="false">L4-$L$14</f>
        <v>4.6</v>
      </c>
    </row>
    <row r="5" customFormat="false" ht="12.8" hidden="false" customHeight="false" outlineLevel="0" collapsed="false">
      <c r="A5" s="0" t="n">
        <v>0.5</v>
      </c>
      <c r="B5" s="0" t="n">
        <v>4.8</v>
      </c>
      <c r="C5" s="0" t="n">
        <f aca="false">$B$15*A5+$B$16</f>
        <v>4.86552700441851</v>
      </c>
      <c r="D5" s="0" t="n">
        <f aca="false">C5-$B$14</f>
        <v>-5.53447299558149</v>
      </c>
      <c r="E5" s="0" t="n">
        <f aca="false">B5-$B$14</f>
        <v>-5.6</v>
      </c>
      <c r="F5" s="1" t="n">
        <v>1.2</v>
      </c>
      <c r="G5" s="1" t="n">
        <v>4.8</v>
      </c>
      <c r="H5" s="1" t="n">
        <f aca="false">$G$15*F5+$G$16</f>
        <v>6.2593733959253</v>
      </c>
      <c r="I5" s="1" t="n">
        <f aca="false">H5-$G$14</f>
        <v>-4.1406266040747</v>
      </c>
      <c r="J5" s="1" t="n">
        <f aca="false">G5-$G$14</f>
        <v>-5.6</v>
      </c>
      <c r="K5" s="0" t="n">
        <v>3</v>
      </c>
      <c r="L5" s="0" t="n">
        <v>4.8</v>
      </c>
      <c r="M5" s="0" t="n">
        <f aca="false">$L$15*K5+$L$16</f>
        <v>9.45661643270025</v>
      </c>
      <c r="N5" s="0" t="n">
        <f aca="false">M5-$L$14</f>
        <v>-0.943383567299753</v>
      </c>
      <c r="O5" s="0" t="n">
        <f aca="false">L5-$L$14</f>
        <v>-5.6</v>
      </c>
    </row>
    <row r="6" customFormat="false" ht="12.8" hidden="false" customHeight="false" outlineLevel="0" collapsed="false">
      <c r="A6" s="0" t="n">
        <v>1.4</v>
      </c>
      <c r="B6" s="0" t="n">
        <v>6</v>
      </c>
      <c r="C6" s="0" t="n">
        <f aca="false">$B$15*A6+$B$16</f>
        <v>6.03478186263996</v>
      </c>
      <c r="D6" s="0" t="n">
        <f aca="false">C6-$B$14</f>
        <v>-4.36521813736005</v>
      </c>
      <c r="E6" s="0" t="n">
        <f aca="false">B6-$B$14</f>
        <v>-4.4</v>
      </c>
      <c r="F6" s="1" t="n">
        <v>1</v>
      </c>
      <c r="G6" s="1" t="n">
        <v>6</v>
      </c>
      <c r="H6" s="1" t="n">
        <f aca="false">$G$15*F6+$G$16</f>
        <v>6.02344025609198</v>
      </c>
      <c r="I6" s="1" t="n">
        <f aca="false">H6-$G$14</f>
        <v>-4.37655974390802</v>
      </c>
      <c r="J6" s="1" t="n">
        <f aca="false">G6-$G$14</f>
        <v>-4.4</v>
      </c>
      <c r="K6" s="0" t="n">
        <v>8.3</v>
      </c>
      <c r="L6" s="0" t="n">
        <v>6</v>
      </c>
      <c r="M6" s="0" t="n">
        <f aca="false">$L$15*K6+$L$16</f>
        <v>11.7714001857969</v>
      </c>
      <c r="N6" s="0" t="n">
        <f aca="false">M6-$L$14</f>
        <v>1.37140018579686</v>
      </c>
      <c r="O6" s="0" t="n">
        <f aca="false">L6-$L$14</f>
        <v>-4.4</v>
      </c>
    </row>
    <row r="7" customFormat="false" ht="12.8" hidden="false" customHeight="false" outlineLevel="0" collapsed="false">
      <c r="A7" s="0" t="n">
        <v>8.2</v>
      </c>
      <c r="B7" s="0" t="n">
        <v>14.9</v>
      </c>
      <c r="C7" s="0" t="n">
        <f aca="false">$B$15*A7+$B$16</f>
        <v>14.8691519025353</v>
      </c>
      <c r="D7" s="0" t="n">
        <f aca="false">C7-$B$14</f>
        <v>4.46915190253528</v>
      </c>
      <c r="E7" s="0" t="n">
        <f aca="false">B7-$B$14</f>
        <v>4.5</v>
      </c>
      <c r="F7" s="1" t="n">
        <v>9</v>
      </c>
      <c r="G7" s="1" t="n">
        <v>14.9</v>
      </c>
      <c r="H7" s="1" t="n">
        <f aca="false">$G$15*F7+$G$16</f>
        <v>15.4607658494246</v>
      </c>
      <c r="I7" s="1" t="n">
        <f aca="false">H7-$G$14</f>
        <v>5.06076584942463</v>
      </c>
      <c r="J7" s="1" t="n">
        <f aca="false">G7-$G$14</f>
        <v>4.5</v>
      </c>
      <c r="K7" s="0" t="n">
        <v>8.2</v>
      </c>
      <c r="L7" s="0" t="n">
        <v>14.9</v>
      </c>
      <c r="M7" s="0" t="n">
        <f aca="false">$L$15*K7+$L$16</f>
        <v>11.7277250206441</v>
      </c>
      <c r="N7" s="0" t="n">
        <f aca="false">M7-$L$14</f>
        <v>1.32772502064409</v>
      </c>
      <c r="O7" s="0" t="n">
        <f aca="false">L7-$L$14</f>
        <v>4.5</v>
      </c>
    </row>
    <row r="8" customFormat="false" ht="12.8" hidden="false" customHeight="false" outlineLevel="0" collapsed="false">
      <c r="A8" s="0" t="n">
        <v>5.9</v>
      </c>
      <c r="B8" s="0" t="n">
        <v>11.9</v>
      </c>
      <c r="C8" s="0" t="n">
        <f aca="false">$B$15*A8+$B$16</f>
        <v>11.8810561537472</v>
      </c>
      <c r="D8" s="0" t="n">
        <f aca="false">C8-$B$14</f>
        <v>1.48105615374716</v>
      </c>
      <c r="E8" s="0" t="n">
        <f aca="false">B8-$B$14</f>
        <v>1.5</v>
      </c>
      <c r="F8" s="1" t="n">
        <v>5</v>
      </c>
      <c r="G8" s="1" t="n">
        <v>11.9</v>
      </c>
      <c r="H8" s="1" t="n">
        <f aca="false">$G$15*F8+$G$16</f>
        <v>10.7421030527583</v>
      </c>
      <c r="I8" s="1" t="n">
        <f aca="false">H8-$G$14</f>
        <v>0.342103052758308</v>
      </c>
      <c r="J8" s="1" t="n">
        <f aca="false">G8-$G$14</f>
        <v>1.5</v>
      </c>
      <c r="K8" s="0" t="n">
        <v>1.4</v>
      </c>
      <c r="L8" s="0" t="n">
        <v>11.9</v>
      </c>
      <c r="M8" s="0" t="n">
        <f aca="false">$L$15*K8+$L$16</f>
        <v>8.75781379025599</v>
      </c>
      <c r="N8" s="0" t="n">
        <f aca="false">M8-$L$14</f>
        <v>-1.64218620974401</v>
      </c>
      <c r="O8" s="0" t="n">
        <f aca="false">L8-$L$14</f>
        <v>1.5</v>
      </c>
    </row>
    <row r="9" customFormat="false" ht="12.8" hidden="false" customHeight="false" outlineLevel="0" collapsed="false">
      <c r="A9" s="0" t="n">
        <v>4.3</v>
      </c>
      <c r="B9" s="0" t="n">
        <v>9.8</v>
      </c>
      <c r="C9" s="0" t="n">
        <f aca="false">$B$15*A9+$B$16</f>
        <v>9.80238085024238</v>
      </c>
      <c r="D9" s="0" t="n">
        <f aca="false">C9-$B$14</f>
        <v>-0.597619149757627</v>
      </c>
      <c r="E9" s="0" t="n">
        <f aca="false">B9-$B$14</f>
        <v>-0.600000000000001</v>
      </c>
      <c r="F9" s="1" t="n">
        <v>3.4</v>
      </c>
      <c r="G9" s="1" t="n">
        <v>9.8</v>
      </c>
      <c r="H9" s="1" t="n">
        <f aca="false">$G$15*F9+$G$16</f>
        <v>8.85463793409178</v>
      </c>
      <c r="I9" s="1" t="n">
        <f aca="false">H9-$G$14</f>
        <v>-1.54536206590822</v>
      </c>
      <c r="J9" s="1" t="n">
        <f aca="false">G9-$G$14</f>
        <v>-0.600000000000001</v>
      </c>
      <c r="K9" s="0" t="n">
        <v>1</v>
      </c>
      <c r="L9" s="0" t="n">
        <v>9.8</v>
      </c>
      <c r="M9" s="0" t="n">
        <f aca="false">$L$15*K9+$L$16</f>
        <v>8.58311312964492</v>
      </c>
      <c r="N9" s="0" t="n">
        <f aca="false">M9-$L$14</f>
        <v>-1.81688687035508</v>
      </c>
      <c r="O9" s="0" t="n">
        <f aca="false">L9-$L$14</f>
        <v>-0.600000000000001</v>
      </c>
    </row>
    <row r="10" customFormat="false" ht="12.8" hidden="false" customHeight="false" outlineLevel="0" collapsed="false">
      <c r="A10" s="0" t="n">
        <v>8.3</v>
      </c>
      <c r="B10" s="0" t="n">
        <v>15</v>
      </c>
      <c r="C10" s="0" t="n">
        <f aca="false">$B$15*A10+$B$16</f>
        <v>14.9990691090043</v>
      </c>
      <c r="D10" s="0" t="n">
        <f aca="false">C10-$B$14</f>
        <v>4.59906910900433</v>
      </c>
      <c r="E10" s="0" t="n">
        <f aca="false">B10-$B$14</f>
        <v>4.6</v>
      </c>
      <c r="F10" s="1" t="n">
        <v>7.4</v>
      </c>
      <c r="G10" s="1" t="n">
        <v>15</v>
      </c>
      <c r="H10" s="1" t="n">
        <f aca="false">$G$15*F10+$G$16</f>
        <v>13.5733007307581</v>
      </c>
      <c r="I10" s="1" t="n">
        <f aca="false">H10-$G$14</f>
        <v>3.1733007307581</v>
      </c>
      <c r="J10" s="1" t="n">
        <f aca="false">G10-$G$14</f>
        <v>4.6</v>
      </c>
      <c r="K10" s="0" t="n">
        <v>7.9</v>
      </c>
      <c r="L10" s="0" t="n">
        <v>15</v>
      </c>
      <c r="M10" s="0" t="n">
        <f aca="false">$L$15*K10+$L$16</f>
        <v>11.5966995251858</v>
      </c>
      <c r="N10" s="0" t="n">
        <f aca="false">M10-$L$14</f>
        <v>1.1966995251858</v>
      </c>
      <c r="O10" s="0" t="n">
        <f aca="false">L10-$L$14</f>
        <v>4.6</v>
      </c>
    </row>
    <row r="11" customFormat="false" ht="12.8" hidden="false" customHeight="false" outlineLevel="0" collapsed="false">
      <c r="A11" s="0" t="n">
        <v>0.3</v>
      </c>
      <c r="B11" s="0" t="n">
        <v>4.7</v>
      </c>
      <c r="C11" s="0" t="n">
        <f aca="false">$B$15*A11+$B$16</f>
        <v>4.60569259148042</v>
      </c>
      <c r="D11" s="0" t="n">
        <f aca="false">C11-$B$14</f>
        <v>-5.79430740851959</v>
      </c>
      <c r="E11" s="0" t="n">
        <f aca="false">B11-$B$14</f>
        <v>-5.7</v>
      </c>
      <c r="F11" s="1" t="n">
        <v>0.1</v>
      </c>
      <c r="G11" s="1" t="n">
        <v>4.7</v>
      </c>
      <c r="H11" s="1" t="n">
        <f aca="false">$G$15*F11+$G$16</f>
        <v>4.96174112684206</v>
      </c>
      <c r="I11" s="1" t="n">
        <f aca="false">H11-$G$14</f>
        <v>-5.43825887315794</v>
      </c>
      <c r="J11" s="1" t="n">
        <f aca="false">G11-$G$14</f>
        <v>-5.7</v>
      </c>
      <c r="K11" s="0" t="n">
        <v>5.9</v>
      </c>
      <c r="L11" s="0" t="n">
        <v>4.7</v>
      </c>
      <c r="M11" s="0" t="n">
        <f aca="false">$L$15*K11+$L$16</f>
        <v>10.7231962221305</v>
      </c>
      <c r="N11" s="0" t="n">
        <f aca="false">M11-$L$14</f>
        <v>0.32319622213047</v>
      </c>
      <c r="O11" s="0" t="n">
        <f aca="false">L11-$L$14</f>
        <v>-5.7</v>
      </c>
    </row>
    <row r="12" customFormat="false" ht="12.8" hidden="false" customHeight="false" outlineLevel="0" collapsed="false">
      <c r="A12" s="0" t="n">
        <v>6.8</v>
      </c>
      <c r="B12" s="0" t="n">
        <v>13</v>
      </c>
      <c r="C12" s="0" t="n">
        <f aca="false">$B$15*A12+$B$16</f>
        <v>13.0503110119686</v>
      </c>
      <c r="D12" s="0" t="n">
        <f aca="false">C12-$B$14</f>
        <v>2.6503110119686</v>
      </c>
      <c r="E12" s="0" t="n">
        <f aca="false">B12-$B$14</f>
        <v>2.6</v>
      </c>
      <c r="F12" s="1" t="n">
        <v>7.5</v>
      </c>
      <c r="G12" s="1" t="n">
        <v>13</v>
      </c>
      <c r="H12" s="1" t="n">
        <f aca="false">$G$15*F12+$G$16</f>
        <v>13.6912673006748</v>
      </c>
      <c r="I12" s="1" t="n">
        <f aca="false">H12-$G$14</f>
        <v>3.29126730067476</v>
      </c>
      <c r="J12" s="1" t="n">
        <f aca="false">G12-$G$14</f>
        <v>2.6</v>
      </c>
      <c r="K12" s="0" t="n">
        <v>5</v>
      </c>
      <c r="L12" s="0" t="n">
        <v>13</v>
      </c>
      <c r="M12" s="0" t="n">
        <f aca="false">$L$15*K12+$L$16</f>
        <v>10.3301197357556</v>
      </c>
      <c r="N12" s="0" t="n">
        <f aca="false">M12-$L$14</f>
        <v>-0.0698802642444285</v>
      </c>
      <c r="O12" s="0" t="n">
        <f aca="false">L12-$L$14</f>
        <v>2.6</v>
      </c>
    </row>
    <row r="14" customFormat="false" ht="12.8" hidden="false" customHeight="false" outlineLevel="0" collapsed="false">
      <c r="A14" s="0" t="s">
        <v>8</v>
      </c>
      <c r="B14" s="0" t="n">
        <f aca="false">AVERAGE(B3:B12)</f>
        <v>10.4</v>
      </c>
      <c r="G14" s="0" t="n">
        <f aca="false">AVERAGE(G3:G12)</f>
        <v>10.4</v>
      </c>
      <c r="L14" s="0" t="n">
        <f aca="false">AVERAGE(L3:L12)</f>
        <v>10.4</v>
      </c>
    </row>
    <row r="15" customFormat="false" ht="12.8" hidden="false" customHeight="false" outlineLevel="0" collapsed="false">
      <c r="A15" s="0" t="s">
        <v>9</v>
      </c>
      <c r="B15" s="0" t="n">
        <f aca="false">SLOPE(B3:B12,A3:A12)</f>
        <v>1.29917206469049</v>
      </c>
      <c r="G15" s="0" t="n">
        <f aca="false">SLOPE(G3:G12,F3:F12)</f>
        <v>1.17966569916658</v>
      </c>
      <c r="L15" s="0" t="n">
        <f aca="false">SLOPE(L3:L12,K3:K12)</f>
        <v>0.436751651527663</v>
      </c>
    </row>
    <row r="16" customFormat="false" ht="12.8" hidden="false" customHeight="false" outlineLevel="0" collapsed="false">
      <c r="A16" s="0" t="s">
        <v>10</v>
      </c>
      <c r="B16" s="0" t="n">
        <f aca="false">INTERCEPT(B3:B12,A3:A12)</f>
        <v>4.21594097207327</v>
      </c>
      <c r="G16" s="0" t="n">
        <f aca="false">INTERCEPT(G3:G12,F3:F12)</f>
        <v>4.8437745569254</v>
      </c>
      <c r="L16" s="0" t="n">
        <f aca="false">INTERCEPT(L3:L12,K3:K12)</f>
        <v>8.14636147811726</v>
      </c>
    </row>
    <row r="17" customFormat="false" ht="12.8" hidden="false" customHeight="false" outlineLevel="0" collapsed="false">
      <c r="A17" s="0" t="s">
        <v>11</v>
      </c>
      <c r="C17" s="0" t="n">
        <f aca="false">CORREL(A3:A12,B3:B12)</f>
        <v>0.999941878605126</v>
      </c>
      <c r="H17" s="0" t="n">
        <f aca="false">CORREL(F3:F12,G3:G12)</f>
        <v>0.973308797395132</v>
      </c>
      <c r="M17" s="0" t="n">
        <f aca="false">CORREL(K3:K12,L3:L12)</f>
        <v>0.306474433145099</v>
      </c>
    </row>
    <row r="18" customFormat="false" ht="12.8" hidden="false" customHeight="false" outlineLevel="0" collapsed="false">
      <c r="A18" s="0" t="s">
        <v>12</v>
      </c>
      <c r="C18" s="0" t="n">
        <f aca="false">RSQ(B3:B12,A3:A12)</f>
        <v>0.999883760588348</v>
      </c>
      <c r="H18" s="0" t="n">
        <f aca="false">RSQ(G3:G12,F3:F12)</f>
        <v>0.947330015086759</v>
      </c>
      <c r="M18" s="0" t="n">
        <f aca="false">RSQ(L3:L12,K3:K12)</f>
        <v>0.0939265781716098</v>
      </c>
    </row>
    <row r="19" customFormat="false" ht="12.8" hidden="false" customHeight="false" outlineLevel="0" collapsed="false">
      <c r="A19" s="0" t="s">
        <v>13</v>
      </c>
      <c r="C19" s="0" t="n">
        <f aca="false">C18-C17^2</f>
        <v>0</v>
      </c>
      <c r="H19" s="0" t="n">
        <f aca="false">H18-H17^2</f>
        <v>0</v>
      </c>
      <c r="M19" s="0" t="n">
        <f aca="false">M18-M17^2</f>
        <v>0</v>
      </c>
    </row>
    <row r="20" customFormat="false" ht="12.8" hidden="false" customHeight="false" outlineLevel="0" collapsed="false">
      <c r="A20" s="0" t="s">
        <v>14</v>
      </c>
      <c r="C20" s="0" t="n">
        <f aca="false">SUMSQ(D3:D12)/SUMSQ(E3:E12)</f>
        <v>0.999883760588348</v>
      </c>
      <c r="H20" s="0" t="n">
        <f aca="false">SUMSQ(I3:I12)/SUMSQ(J3:J12)</f>
        <v>0.947330015086759</v>
      </c>
      <c r="M20" s="0" t="n">
        <f aca="false">SUMSQ(N3:N12)/SUMSQ(O3:O12)</f>
        <v>0.0939265781716098</v>
      </c>
    </row>
    <row r="21" customFormat="false" ht="12.8" hidden="false" customHeight="false" outlineLevel="0" collapsed="false">
      <c r="A21" s="0" t="s">
        <v>15</v>
      </c>
      <c r="C21" s="0" t="n">
        <f aca="false">C18-C20</f>
        <v>0</v>
      </c>
      <c r="H21" s="0" t="n">
        <f aca="false">H18-H20</f>
        <v>0</v>
      </c>
      <c r="M21" s="0" t="n">
        <f aca="false">M18-M20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2021-05-21T17:40:24Z</dcterms:created>
  <dc:creator/>
  <dc:description/>
  <dc:language>en-US</dc:language>
  <cp:lastModifiedBy/>
  <dcterms:modified xsi:type="dcterms:W3CDTF">2021-05-21T21:00:14Z</dcterms:modified>
  <cp:revision>5</cp:revision>
  <dc:subject/>
  <dc:title/>
</cp:coreProperties>
</file>