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<sst xmlns="http://schemas.openxmlformats.org/spreadsheetml/2006/main" count="27" uniqueCount="25">
  <si>
    <t xml:space="preserve">Hypothesis testing for a population mean.</t>
  </si>
  <si>
    <t xml:space="preserve">H_0: mu=mu_0</t>
  </si>
  <si>
    <t xml:space="preserve">mu_0</t>
  </si>
  <si>
    <t xml:space="preserve">n</t>
  </si>
  <si>
    <t xml:space="preserve">x_bar</t>
  </si>
  <si>
    <t xml:space="preserve">s</t>
  </si>
  <si>
    <t xml:space="preserve">alpha</t>
  </si>
  <si>
    <t xml:space="preserve">degrees of freedom=n-1</t>
  </si>
  <si>
    <t xml:space="preserve">t=(x_bar-mu_0)/(s/sqrt(n))</t>
  </si>
  <si>
    <t xml:space="preserve">H_1: mu&lt;mu_0</t>
  </si>
  <si>
    <t xml:space="preserve">t_crit=t.inv(alpha,n-1)</t>
  </si>
  <si>
    <t xml:space="preserve">t&lt;t_crit ?</t>
  </si>
  <si>
    <t xml:space="preserve">p-value=P(T&lt;t)=t.dist(b9,b8,1)</t>
  </si>
  <si>
    <t xml:space="preserve">(p-value)&lt;alpha ?</t>
  </si>
  <si>
    <t xml:space="preserve">H_1: mu&gt;mu_0</t>
  </si>
  <si>
    <t xml:space="preserve">t_crit=-t.inv(alpha,n-1)</t>
  </si>
  <si>
    <t xml:space="preserve">t&gt;t_crit ?</t>
  </si>
  <si>
    <t xml:space="preserve">p-value=P(T&gt;t)=1-t.dist(t,n-1,1)</t>
  </si>
  <si>
    <t xml:space="preserve">H_1: mu&lt;&gt;mu_0</t>
  </si>
  <si>
    <t xml:space="preserve">t_crit=-t.inv(alpha/2,n-1)</t>
  </si>
  <si>
    <t xml:space="preserve">|t|&gt;t_crit ?</t>
  </si>
  <si>
    <t xml:space="preserve">p-value=P(|T|&gt;|t|)=2*(1-t.dist(abs(t),n-1,1)</t>
  </si>
  <si>
    <t xml:space="preserve">(CI low)=x_bar-t_crit*s/sqrt(n)</t>
  </si>
  <si>
    <t xml:space="preserve">(CI high)=x_bar+t_crit*s/sqrt(n)</t>
  </si>
  <si>
    <t xml:space="preserve">(CI low)&lt;mu_0&lt;(CI high) ?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</si>
</sst>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9" activeCellId="0" sqref="M39"/>
    </sheetView>
  </sheetViews>
  <sheetFormatPr defaultRowHeight="12.8"/>
  <cols>
    <col collapsed="false" hidden="false" max="1" min="1" style="0" width="39.7040816326531"/>
    <col collapsed="false" hidden="false" max="1025" min="2" style="0" width="11.9132653061225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2" t="s">
        <v>2</v>
      </c>
      <c r="B3" s="3" t="n">
        <v>100</v>
      </c>
    </row>
    <row r="4" customFormat="false" ht="12.8" hidden="false" customHeight="false" outlineLevel="0" collapsed="false">
      <c r="A4" s="2" t="s">
        <v>3</v>
      </c>
      <c r="B4" s="3" t="n">
        <v>20</v>
      </c>
      <c r="C4" s="0" t="str">
        <f aca="false">IF(B4&gt;=30,"Good, normal","Too small, is the data normal?")</f>
        <v>Too small, is the data normal?</v>
      </c>
    </row>
    <row r="5" customFormat="false" ht="12.8" hidden="false" customHeight="false" outlineLevel="0" collapsed="false">
      <c r="A5" s="2" t="s">
        <v>4</v>
      </c>
      <c r="B5" s="3" t="n">
        <v>104.2</v>
      </c>
    </row>
    <row r="6" customFormat="false" ht="12.8" hidden="false" customHeight="false" outlineLevel="0" collapsed="false">
      <c r="A6" s="2" t="s">
        <v>5</v>
      </c>
      <c r="B6" s="3" t="n">
        <v>14.7</v>
      </c>
    </row>
    <row r="7" customFormat="false" ht="12.8" hidden="false" customHeight="false" outlineLevel="0" collapsed="false">
      <c r="A7" s="2" t="s">
        <v>6</v>
      </c>
      <c r="B7" s="3" t="n">
        <v>0.05</v>
      </c>
    </row>
    <row r="8" customFormat="false" ht="12.8" hidden="false" customHeight="false" outlineLevel="0" collapsed="false">
      <c r="A8" s="0" t="s">
        <v>7</v>
      </c>
      <c r="B8" s="0" t="n">
        <f aca="false">B4-1</f>
        <v>19</v>
      </c>
    </row>
    <row r="9" customFormat="false" ht="12.8" hidden="false" customHeight="false" outlineLevel="0" collapsed="false">
      <c r="A9" s="0" t="s">
        <v>8</v>
      </c>
      <c r="B9" s="0" t="n">
        <f aca="false">(B5-B3)/(B6/SQRT(B4))</f>
        <v>1.27775312999988</v>
      </c>
    </row>
    <row r="12" customFormat="false" ht="12.8" hidden="false" customHeight="false" outlineLevel="0" collapsed="false">
      <c r="B12" s="1" t="s">
        <v>9</v>
      </c>
    </row>
    <row r="13" customFormat="false" ht="12.8" hidden="false" customHeight="false" outlineLevel="0" collapsed="false">
      <c r="A13" s="0" t="s">
        <v>10</v>
      </c>
      <c r="B13" s="0" t="n">
        <f aca="false">_xlfn.T.INV(B7,B8)</f>
        <v>-1.72913281152137</v>
      </c>
    </row>
    <row r="14" customFormat="false" ht="12.8" hidden="false" customHeight="false" outlineLevel="0" collapsed="false">
      <c r="A14" s="0" t="s">
        <v>11</v>
      </c>
      <c r="B14" s="0" t="str">
        <f aca="false">IF(B9&lt;B13,"Yes, reject H_0.", "No, fail to reject H_0.")</f>
        <v>No, fail to reject H_0.</v>
      </c>
    </row>
    <row r="15" customFormat="false" ht="12.8" hidden="false" customHeight="false" outlineLevel="0" collapsed="false">
      <c r="A15" s="0" t="s">
        <v>12</v>
      </c>
      <c r="B15" s="0" t="n">
        <f aca="false">_xlfn.T.DIST(B9,B8,1)</f>
        <v>0.891635866839184</v>
      </c>
    </row>
    <row r="16" customFormat="false" ht="12.8" hidden="false" customHeight="false" outlineLevel="0" collapsed="false">
      <c r="A16" s="0" t="s">
        <v>13</v>
      </c>
      <c r="B16" s="0" t="str">
        <f aca="false">IF(B15&lt;$B$7,"Yes.","No.")</f>
        <v>No.</v>
      </c>
    </row>
    <row r="18" customFormat="false" ht="12.8" hidden="false" customHeight="false" outlineLevel="0" collapsed="false">
      <c r="A18" s="0" t="str">
        <f aca="false">IF(B16="No.",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95% level of significance to reject the null hypothesis.</v>
      </c>
    </row>
    <row r="21" customFormat="false" ht="12.8" hidden="false" customHeight="false" outlineLevel="0" collapsed="false">
      <c r="B21" s="1" t="s">
        <v>14</v>
      </c>
    </row>
    <row r="22" customFormat="false" ht="12.8" hidden="false" customHeight="false" outlineLevel="0" collapsed="false">
      <c r="A22" s="0" t="s">
        <v>15</v>
      </c>
      <c r="B22" s="0" t="n">
        <f aca="false">-_xlfn.T.INV(B7,B8)</f>
        <v>1.72913281152137</v>
      </c>
    </row>
    <row r="23" customFormat="false" ht="12.8" hidden="false" customHeight="false" outlineLevel="0" collapsed="false">
      <c r="A23" s="0" t="s">
        <v>16</v>
      </c>
      <c r="B23" s="0" t="str">
        <f aca="false">IF(B9&gt;B22,"Yes, reject H_0.","No, fail to reject H_0.")</f>
        <v>No, fail to reject H_0.</v>
      </c>
    </row>
    <row r="24" customFormat="false" ht="12.8" hidden="false" customHeight="false" outlineLevel="0" collapsed="false">
      <c r="A24" s="0" t="s">
        <v>17</v>
      </c>
      <c r="B24" s="0" t="n">
        <f aca="false">1-_xlfn.T.DIST(B9,B8,1)</f>
        <v>0.108364133160816</v>
      </c>
    </row>
    <row r="25" customFormat="false" ht="12.8" hidden="false" customHeight="false" outlineLevel="0" collapsed="false">
      <c r="A25" s="0" t="s">
        <v>13</v>
      </c>
      <c r="B25" s="0" t="str">
        <f aca="false">IF(B24&lt;$B$7,"Yes.","No.")</f>
        <v>No.</v>
      </c>
    </row>
    <row r="27" customFormat="false" ht="12.8" hidden="false" customHeight="false" outlineLevel="0" collapsed="false">
      <c r="A27" s="0" t="str">
        <f aca="false">IF(B25="No.",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95% level of significance to reject the null hypothesis.</v>
      </c>
    </row>
    <row r="30" customFormat="false" ht="12.8" hidden="false" customHeight="false" outlineLevel="0" collapsed="false">
      <c r="B30" s="1" t="s">
        <v>18</v>
      </c>
    </row>
    <row r="31" customFormat="false" ht="12.8" hidden="false" customHeight="false" outlineLevel="0" collapsed="false">
      <c r="A31" s="0" t="s">
        <v>19</v>
      </c>
      <c r="B31" s="0" t="n">
        <f aca="false">-_xlfn.T.INV(B7/2,B8)</f>
        <v>2.09302405440831</v>
      </c>
    </row>
    <row r="32" customFormat="false" ht="12.8" hidden="false" customHeight="false" outlineLevel="0" collapsed="false">
      <c r="A32" s="0" t="s">
        <v>20</v>
      </c>
      <c r="B32" s="0" t="str">
        <f aca="false">IF(ABS(B9)&gt;B31,"Yes, reject H_0.","No, fail to reject H_0.")</f>
        <v>No, fail to reject H_0.</v>
      </c>
    </row>
    <row r="33" customFormat="false" ht="12.8" hidden="false" customHeight="false" outlineLevel="0" collapsed="false">
      <c r="A33" s="0" t="s">
        <v>21</v>
      </c>
      <c r="B33" s="0" t="n">
        <f aca="false">2*(1-_xlfn.T.DIST(ABS(B9),B8,1))</f>
        <v>0.216728266321633</v>
      </c>
    </row>
    <row r="34" customFormat="false" ht="12.8" hidden="false" customHeight="false" outlineLevel="0" collapsed="false">
      <c r="A34" s="0" t="s">
        <v>13</v>
      </c>
      <c r="B34" s="0" t="str">
        <f aca="false">IF(B33&lt;$B$7,"Yes.","No.")</f>
        <v>No.</v>
      </c>
    </row>
    <row r="35" customFormat="false" ht="12.8" hidden="false" customHeight="false" outlineLevel="0" collapsed="false">
      <c r="A35" s="0" t="s">
        <v>22</v>
      </c>
      <c r="B35" s="0" t="n">
        <f aca="false">$B$5-$B$31*$B$6/SQRT($B$4)</f>
        <v>97.3201882256272</v>
      </c>
    </row>
    <row r="36" customFormat="false" ht="12.8" hidden="false" customHeight="false" outlineLevel="0" collapsed="false">
      <c r="A36" s="0" t="s">
        <v>23</v>
      </c>
      <c r="B36" s="0" t="n">
        <f aca="false">$B$5+$B$31*$B$6/SQRT($B$4)</f>
        <v>111.079811774373</v>
      </c>
    </row>
    <row r="37" customFormat="false" ht="12.8" hidden="false" customHeight="false" outlineLevel="0" collapsed="false">
      <c r="A37" s="0" t="s">
        <v>24</v>
      </c>
      <c r="B37" s="0" t="str">
        <f aca="false">IF(AND(B35&lt;B3,B3&lt;B36),"Yes.","No.")</f>
        <v>Yes.</v>
      </c>
    </row>
    <row r="39" customFormat="false" ht="12.8" hidden="false" customHeight="false" outlineLevel="0" collapsed="false">
      <c r="A39" s="0" t="str">
        <f aca="false">IF(B34="No.", "There is not sufficient evidence at the "&amp;(1-$B$7)*100&amp;"% level of significance to reject the null hypothesis.","There is sufficient evidence at the "&amp;(1-$B$7)*100&amp;"% level of significance to reject the null hypothesis.")</f>
        <v>There is not sufficient evidence at the 95% level of significance to reject the null hypothesis.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2021-06-07T14:25:07Z</dcterms:created>
  <dc:creator/>
  <dc:description/>
  <dc:language>en-US</dc:language>
  <cp:lastModifiedBy/>
  <dcterms:modified xsi:type="dcterms:W3CDTF">2021-06-07T14:42:04Z</dcterms:modified>
  <cp:revision>2</cp:revision>
  <dc:subject/>
  <dc:title/>
</cp:coreProperties>
</file>