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<sst xmlns="http://schemas.openxmlformats.org/spreadsheetml/2006/main" count="37" uniqueCount="20">
  <si>
    <t xml:space="preserve">Car</t>
  </si>
  <si>
    <t xml:space="preserve">x</t>
  </si>
  <si>
    <t xml:space="preserve">y</t>
  </si>
  <si>
    <t xml:space="preserve">y hat</t>
  </si>
  <si>
    <t xml:space="preserve">Buick LaCrosse</t>
  </si>
  <si>
    <t xml:space="preserve">Cadillac XTS</t>
  </si>
  <si>
    <t xml:space="preserve">Chevrolet Cruze</t>
  </si>
  <si>
    <t xml:space="preserve">Chevrolet Impala</t>
  </si>
  <si>
    <t xml:space="preserve">Chrysler 300</t>
  </si>
  <si>
    <t xml:space="preserve">Dodge Charger</t>
  </si>
  <si>
    <t xml:space="preserve">Dodge Dart</t>
  </si>
  <si>
    <t xml:space="preserve">Ford Focus</t>
  </si>
  <si>
    <t xml:space="preserve">Ford Mustang</t>
  </si>
  <si>
    <t xml:space="preserve">Lincoln MKZ</t>
  </si>
  <si>
    <t xml:space="preserve">slope</t>
  </si>
  <si>
    <t xml:space="preserve">intercept</t>
  </si>
  <si>
    <t xml:space="preserve">Cadillac CTS</t>
  </si>
  <si>
    <t xml:space="preserve">residual</t>
  </si>
  <si>
    <t xml:space="preserve">R^2</t>
  </si>
  <si>
    <t xml:space="preserve">Dodge Viper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</si>
</sst>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Gas mileage versus weight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24</c:v>
                </c:pt>
                <c:pt idx="7">
                  <c:v>26</c:v>
                </c:pt>
                <c:pt idx="8">
                  <c:v>19</c:v>
                </c:pt>
                <c:pt idx="9">
                  <c:v>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15.2643282002188</c:v>
                </c:pt>
                <c:pt idx="1">
                  <c:v>18.6221738020011</c:v>
                </c:pt>
                <c:pt idx="2">
                  <c:v>22.8732624538397</c:v>
                </c:pt>
                <c:pt idx="3">
                  <c:v>20.731349799778</c:v>
                </c:pt>
                <c:pt idx="4">
                  <c:v>18.5146105027797</c:v>
                </c:pt>
                <c:pt idx="5">
                  <c:v>18.958893695216</c:v>
                </c:pt>
                <c:pt idx="6">
                  <c:v>22.1951460022263</c:v>
                </c:pt>
                <c:pt idx="7">
                  <c:v>23.5139655839848</c:v>
                </c:pt>
                <c:pt idx="8">
                  <c:v>20.8482664293665</c:v>
                </c:pt>
                <c:pt idx="9">
                  <c:v>19.4780035305891</c:v>
                </c:pt>
              </c:numCache>
            </c:numRef>
          </c:yVal>
          <c:smooth val="0"/>
        </c:ser>
        <c:axId val="18915853"/>
        <c:axId val="28010237"/>
      </c:scatterChart>
      <c:valAx>
        <c:axId val="18915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(lb)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8010237"/>
        <c:crosses val="autoZero"/>
        <c:crossBetween val="midCat"/>
      </c:valAx>
      <c:valAx>
        <c:axId val="2801023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gas mileage (mi/gal)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91585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Gas mileage versus weight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Sheet1!$C$23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Sheet1!$B$24:$B$34</c:f>
              <c:numCache>
                <c:formatCode>General</c:formatCode>
                <c:ptCount val="11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  <c:pt idx="10">
                  <c:v>3425</c:v>
                </c:pt>
              </c:numCache>
            </c:numRef>
          </c:xVal>
          <c:yVal>
            <c:numRef>
              <c:f>Sheet1!$C$24:$C$34</c:f>
              <c:numCache>
                <c:formatCode>General</c:formatCode>
                <c:ptCount val="11"/>
                <c:pt idx="0">
                  <c:v>17</c:v>
                </c:pt>
                <c:pt idx="1">
                  <c:v>18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24</c:v>
                </c:pt>
                <c:pt idx="7">
                  <c:v>26</c:v>
                </c:pt>
                <c:pt idx="8">
                  <c:v>19</c:v>
                </c:pt>
                <c:pt idx="9">
                  <c:v>18</c:v>
                </c:pt>
                <c:pt idx="10">
                  <c:v>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Sheet1!$D$23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Sheet1!$B$24:$B$34</c:f>
              <c:numCache>
                <c:formatCode>General</c:formatCode>
                <c:ptCount val="11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  <c:pt idx="10">
                  <c:v>3425</c:v>
                </c:pt>
              </c:numCache>
            </c:numRef>
          </c:xVal>
          <c:yVal>
            <c:numRef>
              <c:f>Sheet1!$D$24:$D$34</c:f>
              <c:numCache>
                <c:formatCode>General</c:formatCode>
                <c:ptCount val="11"/>
                <c:pt idx="0">
                  <c:v>15.3562818247874</c:v>
                </c:pt>
                <c:pt idx="1">
                  <c:v>18.0139058601709</c:v>
                </c:pt>
                <c:pt idx="2">
                  <c:v>21.3785023060813</c:v>
                </c:pt>
                <c:pt idx="3">
                  <c:v>19.6832490913102</c:v>
                </c:pt>
                <c:pt idx="4">
                  <c:v>17.9287730568091</c:v>
                </c:pt>
                <c:pt idx="5">
                  <c:v>18.2804085489559</c:v>
                </c:pt>
                <c:pt idx="6">
                  <c:v>20.8417955022782</c:v>
                </c:pt>
                <c:pt idx="7">
                  <c:v>21.8855977000194</c:v>
                </c:pt>
                <c:pt idx="8">
                  <c:v>19.7757847471383</c:v>
                </c:pt>
                <c:pt idx="9">
                  <c:v>18.6912668608328</c:v>
                </c:pt>
                <c:pt idx="10">
                  <c:v>20.1644345016164</c:v>
                </c:pt>
              </c:numCache>
            </c:numRef>
          </c:yVal>
          <c:smooth val="0"/>
        </c:ser>
        <c:axId val="42471159"/>
        <c:axId val="79619740"/>
      </c:scatterChart>
      <c:valAx>
        <c:axId val="424711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(lb)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9619740"/>
        <c:crosses val="autoZero"/>
        <c:crossBetween val="midCat"/>
      </c:valAx>
      <c:valAx>
        <c:axId val="7961974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gas mileage (mi/gal)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247115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206280</xdr:colOff>
      <xdr:row>0</xdr:row>
      <xdr:rowOff>0</xdr:rowOff>
    </xdr:from>
    <xdr:to>
      <xdr:col>11</xdr:col>
      <xdr:colOff>276120</xdr:colOff>
      <xdr:row>19</xdr:row>
      <xdr:rowOff>150840</xdr:rowOff>
    </xdr:to>
    <xdr:graphicFrame>
      <xdr:nvGraphicFramePr>
        <xdr:cNvPr id="0" name=""/>
        <xdr:cNvGraphicFramePr/>
      </xdr:nvGraphicFramePr>
      <xdr:xfrm>
        <a:off x="3814200" y="0"/>
        <a:ext cx="5821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412560</xdr:colOff>
      <xdr:row>22</xdr:row>
      <xdr:rowOff>19080</xdr:rowOff>
    </xdr:from>
    <xdr:to>
      <xdr:col>11</xdr:col>
      <xdr:colOff>420480</xdr:colOff>
      <xdr:row>42</xdr:row>
      <xdr:rowOff>7560</xdr:rowOff>
    </xdr:to>
    <xdr:graphicFrame>
      <xdr:nvGraphicFramePr>
        <xdr:cNvPr id="1" name=""/>
        <xdr:cNvGraphicFramePr/>
      </xdr:nvGraphicFramePr>
      <xdr:xfrm>
        <a:off x="4020480" y="3595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20" activeCellId="0" sqref="N20"/>
    </sheetView>
  </sheetViews>
  <sheetFormatPr defaultRowHeight="12.8"/>
  <cols>
    <col collapsed="false" hidden="false" max="1" min="1" style="0" width="14.8316326530612"/>
    <col collapsed="false" hidden="false" max="2" min="2" style="0" width="14.2755102040816"/>
    <col collapsed="false" hidden="false" max="3" min="3" style="0" width="7.75510204081633"/>
    <col collapsed="false" hidden="false" max="4" min="4" style="0" width="14.2755102040816"/>
    <col collapsed="false" hidden="false" max="1025" min="5" style="0" width="11.64285714285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4724</v>
      </c>
      <c r="C2" s="0" t="n">
        <v>17</v>
      </c>
      <c r="D2" s="0" t="n">
        <f aca="false">$B$13*B2+$B$14</f>
        <v>15.2643282002188</v>
      </c>
    </row>
    <row r="3" customFormat="false" ht="12.8" hidden="false" customHeight="false" outlineLevel="0" collapsed="false">
      <c r="A3" s="0" t="s">
        <v>5</v>
      </c>
      <c r="B3" s="0" t="n">
        <v>4006</v>
      </c>
      <c r="C3" s="0" t="n">
        <v>18</v>
      </c>
      <c r="D3" s="0" t="n">
        <f aca="false">$B$13*B3+$B$14</f>
        <v>18.6221738020011</v>
      </c>
    </row>
    <row r="4" customFormat="false" ht="12.8" hidden="false" customHeight="false" outlineLevel="0" collapsed="false">
      <c r="A4" s="0" t="s">
        <v>6</v>
      </c>
      <c r="B4" s="0" t="n">
        <v>3097</v>
      </c>
      <c r="C4" s="0" t="n">
        <v>22</v>
      </c>
      <c r="D4" s="0" t="n">
        <f aca="false">$B$13*B4+$B$14</f>
        <v>22.8732624538397</v>
      </c>
    </row>
    <row r="5" customFormat="false" ht="12.8" hidden="false" customHeight="false" outlineLevel="0" collapsed="false">
      <c r="A5" s="0" t="s">
        <v>7</v>
      </c>
      <c r="B5" s="0" t="n">
        <v>3555</v>
      </c>
      <c r="C5" s="0" t="n">
        <v>19</v>
      </c>
      <c r="D5" s="0" t="n">
        <f aca="false">$B$13*B5+$B$14</f>
        <v>20.731349799778</v>
      </c>
    </row>
    <row r="6" customFormat="false" ht="12.8" hidden="false" customHeight="false" outlineLevel="0" collapsed="false">
      <c r="A6" s="0" t="s">
        <v>8</v>
      </c>
      <c r="B6" s="0" t="n">
        <v>4029</v>
      </c>
      <c r="C6" s="0" t="n">
        <v>19</v>
      </c>
      <c r="D6" s="0" t="n">
        <f aca="false">$B$13*B6+$B$14</f>
        <v>18.5146105027797</v>
      </c>
    </row>
    <row r="7" customFormat="false" ht="12.8" hidden="false" customHeight="false" outlineLevel="0" collapsed="false">
      <c r="A7" s="0" t="s">
        <v>9</v>
      </c>
      <c r="B7" s="0" t="n">
        <v>3934</v>
      </c>
      <c r="C7" s="0" t="n">
        <v>19</v>
      </c>
      <c r="D7" s="0" t="n">
        <f aca="false">$B$13*B7+$B$14</f>
        <v>18.958893695216</v>
      </c>
    </row>
    <row r="8" customFormat="false" ht="12.8" hidden="false" customHeight="false" outlineLevel="0" collapsed="false">
      <c r="A8" s="0" t="s">
        <v>10</v>
      </c>
      <c r="B8" s="0" t="n">
        <v>3242</v>
      </c>
      <c r="C8" s="0" t="n">
        <v>24</v>
      </c>
      <c r="D8" s="0" t="n">
        <f aca="false">$B$13*B8+$B$14</f>
        <v>22.1951460022263</v>
      </c>
    </row>
    <row r="9" customFormat="false" ht="12.8" hidden="false" customHeight="false" outlineLevel="0" collapsed="false">
      <c r="A9" s="0" t="s">
        <v>11</v>
      </c>
      <c r="B9" s="0" t="n">
        <v>2960</v>
      </c>
      <c r="C9" s="0" t="n">
        <v>26</v>
      </c>
      <c r="D9" s="0" t="n">
        <f aca="false">$B$13*B9+$B$14</f>
        <v>23.5139655839848</v>
      </c>
    </row>
    <row r="10" customFormat="false" ht="12.8" hidden="false" customHeight="false" outlineLevel="0" collapsed="false">
      <c r="A10" s="0" t="s">
        <v>12</v>
      </c>
      <c r="B10" s="0" t="n">
        <v>3530</v>
      </c>
      <c r="C10" s="0" t="n">
        <v>19</v>
      </c>
      <c r="D10" s="0" t="n">
        <f aca="false">$B$13*B10+$B$14</f>
        <v>20.8482664293665</v>
      </c>
    </row>
    <row r="11" customFormat="false" ht="12.8" hidden="false" customHeight="false" outlineLevel="0" collapsed="false">
      <c r="A11" s="0" t="s">
        <v>13</v>
      </c>
      <c r="B11" s="0" t="n">
        <v>3823</v>
      </c>
      <c r="C11" s="0" t="n">
        <v>18</v>
      </c>
      <c r="D11" s="0" t="n">
        <f aca="false">$B$13*B11+$B$14</f>
        <v>19.4780035305891</v>
      </c>
    </row>
    <row r="13" customFormat="false" ht="12.8" hidden="false" customHeight="false" outlineLevel="0" collapsed="false">
      <c r="A13" s="0" t="s">
        <v>14</v>
      </c>
      <c r="B13" s="0" t="n">
        <f aca="false">SLOPE(C2:C11,B2:B11)</f>
        <v>-0.00467666518354084</v>
      </c>
    </row>
    <row r="14" customFormat="false" ht="12.8" hidden="false" customHeight="false" outlineLevel="0" collapsed="false">
      <c r="A14" s="0" t="s">
        <v>15</v>
      </c>
      <c r="B14" s="0" t="n">
        <f aca="false">INTERCEPT(C2:C11,B2:B11)</f>
        <v>37.3568945272657</v>
      </c>
    </row>
    <row r="17" customFormat="false" ht="12.8" hidden="false" customHeight="false" outlineLevel="0" collapsed="false">
      <c r="A17" s="0" t="s">
        <v>16</v>
      </c>
      <c r="B17" s="0" t="n">
        <v>3649</v>
      </c>
      <c r="C17" s="0" t="n">
        <v>20</v>
      </c>
      <c r="D17" s="0" t="n">
        <f aca="false">$B$13*B17+$B$14</f>
        <v>20.2917432725252</v>
      </c>
    </row>
    <row r="18" customFormat="false" ht="12.8" hidden="false" customHeight="false" outlineLevel="0" collapsed="false">
      <c r="C18" s="0" t="s">
        <v>17</v>
      </c>
      <c r="D18" s="0" t="n">
        <f aca="false">C17-D17</f>
        <v>-0.291743272525181</v>
      </c>
    </row>
    <row r="21" customFormat="false" ht="12.8" hidden="false" customHeight="false" outlineLevel="0" collapsed="false">
      <c r="A21" s="0" t="s">
        <v>18</v>
      </c>
      <c r="B21" s="0" t="n">
        <f aca="false">RSQ(C2:C11,B2:B11)</f>
        <v>0.708250230526873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s">
        <v>2</v>
      </c>
      <c r="D23" s="0" t="s">
        <v>3</v>
      </c>
    </row>
    <row r="24" customFormat="false" ht="12.8" hidden="false" customHeight="false" outlineLevel="0" collapsed="false">
      <c r="A24" s="0" t="s">
        <v>4</v>
      </c>
      <c r="B24" s="0" t="n">
        <v>4724</v>
      </c>
      <c r="C24" s="0" t="n">
        <v>17</v>
      </c>
      <c r="D24" s="0" t="n">
        <f aca="false">$B$36*B24+$B$37</f>
        <v>15.3562818247874</v>
      </c>
    </row>
    <row r="25" customFormat="false" ht="12.8" hidden="false" customHeight="false" outlineLevel="0" collapsed="false">
      <c r="A25" s="0" t="s">
        <v>5</v>
      </c>
      <c r="B25" s="0" t="n">
        <v>4006</v>
      </c>
      <c r="C25" s="0" t="n">
        <v>18</v>
      </c>
      <c r="D25" s="0" t="n">
        <f aca="false">$B$36*B25+$B$37</f>
        <v>18.0139058601709</v>
      </c>
    </row>
    <row r="26" customFormat="false" ht="12.8" hidden="false" customHeight="false" outlineLevel="0" collapsed="false">
      <c r="A26" s="0" t="s">
        <v>6</v>
      </c>
      <c r="B26" s="0" t="n">
        <v>3097</v>
      </c>
      <c r="C26" s="0" t="n">
        <v>22</v>
      </c>
      <c r="D26" s="0" t="n">
        <f aca="false">$B$36*B26+$B$37</f>
        <v>21.3785023060813</v>
      </c>
    </row>
    <row r="27" customFormat="false" ht="12.8" hidden="false" customHeight="false" outlineLevel="0" collapsed="false">
      <c r="A27" s="0" t="s">
        <v>7</v>
      </c>
      <c r="B27" s="0" t="n">
        <v>3555</v>
      </c>
      <c r="C27" s="0" t="n">
        <v>19</v>
      </c>
      <c r="D27" s="0" t="n">
        <f aca="false">$B$36*B27+$B$37</f>
        <v>19.6832490913102</v>
      </c>
    </row>
    <row r="28" customFormat="false" ht="12.8" hidden="false" customHeight="false" outlineLevel="0" collapsed="false">
      <c r="A28" s="0" t="s">
        <v>8</v>
      </c>
      <c r="B28" s="0" t="n">
        <v>4029</v>
      </c>
      <c r="C28" s="0" t="n">
        <v>19</v>
      </c>
      <c r="D28" s="0" t="n">
        <f aca="false">$B$36*B28+$B$37</f>
        <v>17.9287730568091</v>
      </c>
    </row>
    <row r="29" customFormat="false" ht="12.8" hidden="false" customHeight="false" outlineLevel="0" collapsed="false">
      <c r="A29" s="0" t="s">
        <v>9</v>
      </c>
      <c r="B29" s="0" t="n">
        <v>3934</v>
      </c>
      <c r="C29" s="0" t="n">
        <v>19</v>
      </c>
      <c r="D29" s="0" t="n">
        <f aca="false">$B$36*B29+$B$37</f>
        <v>18.2804085489559</v>
      </c>
    </row>
    <row r="30" customFormat="false" ht="12.8" hidden="false" customHeight="false" outlineLevel="0" collapsed="false">
      <c r="A30" s="0" t="s">
        <v>10</v>
      </c>
      <c r="B30" s="0" t="n">
        <v>3242</v>
      </c>
      <c r="C30" s="0" t="n">
        <v>24</v>
      </c>
      <c r="D30" s="0" t="n">
        <f aca="false">$B$36*B30+$B$37</f>
        <v>20.8417955022782</v>
      </c>
    </row>
    <row r="31" customFormat="false" ht="12.8" hidden="false" customHeight="false" outlineLevel="0" collapsed="false">
      <c r="A31" s="0" t="s">
        <v>11</v>
      </c>
      <c r="B31" s="0" t="n">
        <v>2960</v>
      </c>
      <c r="C31" s="0" t="n">
        <v>26</v>
      </c>
      <c r="D31" s="0" t="n">
        <f aca="false">$B$36*B31+$B$37</f>
        <v>21.8855977000194</v>
      </c>
    </row>
    <row r="32" customFormat="false" ht="12.8" hidden="false" customHeight="false" outlineLevel="0" collapsed="false">
      <c r="A32" s="0" t="s">
        <v>12</v>
      </c>
      <c r="B32" s="0" t="n">
        <v>3530</v>
      </c>
      <c r="C32" s="0" t="n">
        <v>19</v>
      </c>
      <c r="D32" s="0" t="n">
        <f aca="false">$B$36*B32+$B$37</f>
        <v>19.7757847471383</v>
      </c>
    </row>
    <row r="33" customFormat="false" ht="12.8" hidden="false" customHeight="false" outlineLevel="0" collapsed="false">
      <c r="A33" s="0" t="s">
        <v>13</v>
      </c>
      <c r="B33" s="0" t="n">
        <v>3823</v>
      </c>
      <c r="C33" s="0" t="n">
        <v>18</v>
      </c>
      <c r="D33" s="0" t="n">
        <f aca="false">$B$36*B33+$B$37</f>
        <v>18.6912668608328</v>
      </c>
    </row>
    <row r="34" customFormat="false" ht="12.8" hidden="false" customHeight="false" outlineLevel="0" collapsed="false">
      <c r="A34" s="0" t="s">
        <v>19</v>
      </c>
      <c r="B34" s="0" t="n">
        <v>3425</v>
      </c>
      <c r="C34" s="0" t="n">
        <v>11</v>
      </c>
      <c r="D34" s="0" t="n">
        <f aca="false">$B$36*B34+$B$37</f>
        <v>20.1644345016164</v>
      </c>
    </row>
    <row r="36" customFormat="false" ht="12.8" hidden="false" customHeight="false" outlineLevel="0" collapsed="false">
      <c r="A36" s="0" t="s">
        <v>14</v>
      </c>
      <c r="B36" s="0" t="n">
        <f aca="false">SLOPE(C24:C34,B24:B34)</f>
        <v>-0.00370142623312475</v>
      </c>
    </row>
    <row r="37" customFormat="false" ht="12.8" hidden="false" customHeight="false" outlineLevel="0" collapsed="false">
      <c r="A37" s="0" t="s">
        <v>15</v>
      </c>
      <c r="B37" s="0" t="n">
        <f aca="false">INTERCEPT(C24:C34,B24:B34)</f>
        <v>32.8418193500687</v>
      </c>
    </row>
    <row r="38" customFormat="false" ht="12.8" hidden="false" customHeight="false" outlineLevel="0" collapsed="false">
      <c r="A38" s="0" t="s">
        <v>18</v>
      </c>
      <c r="B38" s="0" t="n">
        <f aca="false">RSQ(C24:C34,B24:B34)</f>
        <v>0.229937285190488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2021-05-21T21:41:02Z</dcterms:created>
  <dc:creator/>
  <dc:description/>
  <dc:language>en-US</dc:language>
  <cp:lastModifiedBy/>
  <dcterms:modified xsi:type="dcterms:W3CDTF">2021-05-21T21:46:31Z</dcterms:modified>
  <cp:revision>2</cp:revision>
  <dc:subject/>
  <dc:title/>
</cp:coreProperties>
</file>