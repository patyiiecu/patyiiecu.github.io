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<sst xmlns="http://schemas.openxmlformats.org/spreadsheetml/2006/main" count="31" uniqueCount="28">
  <si>
    <t xml:space="preserve">( a )</t>
  </si>
  <si>
    <t xml:space="preserve">750000*0.04</t>
  </si>
  <si>
    <t xml:space="preserve">( b )</t>
  </si>
  <si>
    <t xml:space="preserve">Binomial because of the yes or no question</t>
  </si>
  <si>
    <t xml:space="preserve">"Is it safe to withdraw...?".</t>
  </si>
  <si>
    <t xml:space="preserve">We also need that the people who answer yes or know</t>
  </si>
  <si>
    <t xml:space="preserve">have the same distribution as an unfair coin toss.</t>
  </si>
  <si>
    <t xml:space="preserve">n=sample size</t>
  </si>
  <si>
    <t xml:space="preserve">p=success probability</t>
  </si>
  <si>
    <t xml:space="preserve">( c )</t>
  </si>
  <si>
    <t xml:space="preserve">n</t>
  </si>
  <si>
    <t xml:space="preserve">p</t>
  </si>
  <si>
    <t xml:space="preserve">P(X=8)=combin(20,8)*0.16^8*(1-0.16)^(20-8)</t>
  </si>
  <si>
    <t xml:space="preserve"> BINOM.DIST(8,20,0.16,0)</t>
  </si>
  <si>
    <t xml:space="preserve">( d )</t>
  </si>
  <si>
    <t xml:space="preserve">P(X&lt;8)=P(X&lt;=7)=binom.dist(7,20,0.16,1)</t>
  </si>
  <si>
    <t xml:space="preserve">( e )</t>
  </si>
  <si>
    <t xml:space="preserve">p hat</t>
  </si>
  <si>
    <t xml:space="preserve">var(x)=n*p_hat*(1-p_hat)</t>
  </si>
  <si>
    <t xml:space="preserve">&gt;</t>
  </si>
  <si>
    <t xml:space="preserve">20*n</t>
  </si>
  <si>
    <t xml:space="preserve">&lt;</t>
  </si>
  <si>
    <t xml:space="preserve">N</t>
  </si>
  <si>
    <t xml:space="preserve">p_hat is approximately normal with</t>
  </si>
  <si>
    <t xml:space="preserve">mean</t>
  </si>
  <si>
    <t xml:space="preserve">st dev=sqrt(p_hat*(1-p_hat)/n)</t>
  </si>
  <si>
    <t xml:space="preserve">( f )</t>
  </si>
  <si>
    <t xml:space="preserve">P(X&gt;=100)=P(p_hat&gt;=100/500)=P(p_hat&gt;=0.2)=1-norm.dist(0.2,c25,c26,1)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</si>
</sst>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4" activeCellId="0" sqref="J34"/>
    </sheetView>
  </sheetViews>
  <sheetFormatPr defaultRowHeight="12.8"/>
  <cols>
    <col collapsed="false" hidden="false" max="1" min="1" style="0" width="4.72448979591837"/>
    <col collapsed="false" hidden="false" max="2" min="2" style="0" width="61.25"/>
    <col collapsed="false" hidden="false" max="3" min="3" style="0" width="12.7244897959184"/>
    <col collapsed="false" hidden="false" max="4" min="4" style="0" width="5.42857142857143"/>
    <col collapsed="false" hidden="false" max="5" min="5" style="0" width="4.86734693877551"/>
    <col collapsed="false" hidden="false" max="1025" min="6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n">
        <f aca="false">750000*0.04</f>
        <v>30000</v>
      </c>
    </row>
    <row r="3" customFormat="false" ht="12.8" hidden="false" customHeight="false" outlineLevel="0" collapsed="false">
      <c r="A3" s="0" t="s">
        <v>2</v>
      </c>
      <c r="B3" s="0" t="s">
        <v>3</v>
      </c>
    </row>
    <row r="4" customFormat="false" ht="12.8" hidden="false" customHeight="false" outlineLevel="0" collapsed="false">
      <c r="B4" s="0" t="s">
        <v>4</v>
      </c>
    </row>
    <row r="5" customFormat="false" ht="12.8" hidden="false" customHeight="false" outlineLevel="0" collapsed="false">
      <c r="B5" s="0" t="s">
        <v>5</v>
      </c>
    </row>
    <row r="6" customFormat="false" ht="12.8" hidden="false" customHeight="false" outlineLevel="0" collapsed="false">
      <c r="B6" s="0" t="s">
        <v>6</v>
      </c>
    </row>
    <row r="8" customFormat="false" ht="12.8" hidden="false" customHeight="false" outlineLevel="0" collapsed="false">
      <c r="B8" s="1" t="s">
        <v>7</v>
      </c>
      <c r="C8" s="0" t="n">
        <v>20</v>
      </c>
    </row>
    <row r="9" customFormat="false" ht="12.8" hidden="false" customHeight="false" outlineLevel="0" collapsed="false">
      <c r="B9" s="1" t="s">
        <v>8</v>
      </c>
      <c r="C9" s="0" t="n">
        <v>0.16</v>
      </c>
    </row>
    <row r="10" customFormat="false" ht="12.8" hidden="false" customHeight="false" outlineLevel="0" collapsed="false">
      <c r="B10" s="1"/>
    </row>
    <row r="11" customFormat="false" ht="12.8" hidden="false" customHeight="false" outlineLevel="0" collapsed="false">
      <c r="B11" s="1"/>
    </row>
    <row r="12" customFormat="false" ht="12.8" hidden="false" customHeight="false" outlineLevel="0" collapsed="false">
      <c r="A12" s="0" t="s">
        <v>9</v>
      </c>
      <c r="B12" s="1" t="s">
        <v>10</v>
      </c>
      <c r="C12" s="0" t="n">
        <v>20</v>
      </c>
      <c r="D12" s="0" t="s">
        <v>11</v>
      </c>
      <c r="E12" s="0" t="n">
        <v>0.16</v>
      </c>
    </row>
    <row r="13" customFormat="false" ht="12.8" hidden="false" customHeight="false" outlineLevel="0" collapsed="false">
      <c r="B13" s="1" t="s">
        <v>12</v>
      </c>
      <c r="C13" s="0" t="n">
        <f aca="false">COMBIN(20,8)*0.16^8*(1-0.16)^(20-8)</f>
        <v>0.00667695460142147</v>
      </c>
    </row>
    <row r="14" customFormat="false" ht="12.8" hidden="false" customHeight="false" outlineLevel="0" collapsed="false">
      <c r="B14" s="1" t="s">
        <v>13</v>
      </c>
      <c r="C14" s="0" t="n">
        <f aca="false">_xlfn.BINOM.DIST(8,20,0.16,0)</f>
        <v>0.00667695460142147</v>
      </c>
    </row>
    <row r="15" customFormat="false" ht="12.8" hidden="false" customHeight="false" outlineLevel="0" collapsed="false">
      <c r="B15" s="1"/>
    </row>
    <row r="16" customFormat="false" ht="12.8" hidden="false" customHeight="false" outlineLevel="0" collapsed="false">
      <c r="B16" s="1"/>
    </row>
    <row r="17" customFormat="false" ht="12.8" hidden="false" customHeight="false" outlineLevel="0" collapsed="false">
      <c r="A17" s="0" t="s">
        <v>14</v>
      </c>
      <c r="B17" s="1" t="s">
        <v>10</v>
      </c>
      <c r="C17" s="0" t="n">
        <v>20</v>
      </c>
      <c r="D17" s="0" t="s">
        <v>11</v>
      </c>
      <c r="E17" s="0" t="n">
        <v>0.16</v>
      </c>
    </row>
    <row r="18" customFormat="false" ht="12.8" hidden="false" customHeight="false" outlineLevel="0" collapsed="false">
      <c r="B18" s="1" t="s">
        <v>15</v>
      </c>
      <c r="C18" s="0" t="n">
        <f aca="false">_xlfn.BINOM.DIST(7,20,0.16,1)</f>
        <v>0.991200565587771</v>
      </c>
    </row>
    <row r="19" customFormat="false" ht="12.8" hidden="false" customHeight="false" outlineLevel="0" collapsed="false">
      <c r="B19" s="1"/>
    </row>
    <row r="20" customFormat="false" ht="12.8" hidden="false" customHeight="false" outlineLevel="0" collapsed="false">
      <c r="B20" s="1"/>
    </row>
    <row r="21" customFormat="false" ht="12.8" hidden="false" customHeight="false" outlineLevel="0" collapsed="false">
      <c r="A21" s="0" t="s">
        <v>16</v>
      </c>
      <c r="B21" s="1" t="s">
        <v>7</v>
      </c>
      <c r="C21" s="0" t="n">
        <v>500</v>
      </c>
      <c r="D21" s="0" t="s">
        <v>17</v>
      </c>
      <c r="E21" s="0" t="n">
        <v>0.16</v>
      </c>
    </row>
    <row r="22" customFormat="false" ht="12.8" hidden="false" customHeight="false" outlineLevel="0" collapsed="false">
      <c r="B22" s="1" t="s">
        <v>18</v>
      </c>
      <c r="C22" s="0" t="n">
        <f aca="false">C21*E21*(1-E21)</f>
        <v>67.2</v>
      </c>
      <c r="D22" s="0" t="s">
        <v>19</v>
      </c>
      <c r="E22" s="0" t="n">
        <v>10</v>
      </c>
    </row>
    <row r="23" customFormat="false" ht="12.8" hidden="false" customHeight="false" outlineLevel="0" collapsed="false">
      <c r="B23" s="1" t="s">
        <v>20</v>
      </c>
      <c r="C23" s="0" t="n">
        <f aca="false">20*C21</f>
        <v>10000</v>
      </c>
      <c r="D23" s="0" t="s">
        <v>21</v>
      </c>
      <c r="E23" s="0" t="s">
        <v>22</v>
      </c>
    </row>
    <row r="24" customFormat="false" ht="12.8" hidden="false" customHeight="false" outlineLevel="0" collapsed="false">
      <c r="B24" s="1" t="s">
        <v>23</v>
      </c>
    </row>
    <row r="25" customFormat="false" ht="12.8" hidden="false" customHeight="false" outlineLevel="0" collapsed="false">
      <c r="B25" s="1" t="s">
        <v>24</v>
      </c>
      <c r="C25" s="0" t="n">
        <v>0.16</v>
      </c>
    </row>
    <row r="26" customFormat="false" ht="12.8" hidden="false" customHeight="false" outlineLevel="0" collapsed="false">
      <c r="B26" s="1" t="s">
        <v>25</v>
      </c>
      <c r="C26" s="0" t="n">
        <f aca="false">SQRT(E21*(1-E21)/C21)</f>
        <v>0.0163951212255354</v>
      </c>
    </row>
    <row r="29" customFormat="false" ht="12.8" hidden="false" customHeight="false" outlineLevel="0" collapsed="false">
      <c r="A29" s="0" t="s">
        <v>26</v>
      </c>
      <c r="B29" s="1" t="s">
        <v>27</v>
      </c>
      <c r="C29" s="0" t="n">
        <f aca="false">1-_xlfn.NORM.DIST(0.2,C25,C26,1)</f>
        <v>0.00734871088501177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2021-06-06T11:55:40Z</dcterms:created>
  <dc:creator/>
  <dc:description/>
  <dc:language>en-US</dc:language>
  <cp:lastModifiedBy/>
  <dcterms:modified xsi:type="dcterms:W3CDTF">2021-06-06T12:20:14Z</dcterms:modified>
  <cp:revision>1</cp:revision>
  <dc:subject/>
  <dc:title/>
</cp:coreProperties>
</file>