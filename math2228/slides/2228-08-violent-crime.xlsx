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<sst xmlns="http://schemas.openxmlformats.org/spreadsheetml/2006/main" count="1" uniqueCount="1">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</sst>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Frequency of violent crime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Sheet1!$F$1:$F$7</c:f>
              <c:strCache>
                <c:ptCount val="7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</c:strCache>
            </c:strRef>
          </c:cat>
          <c:val>
            <c:numRef>
              <c:f>Sheet1!$G$1:$G$7</c:f>
              <c:numCache>
                <c:formatCode>General</c:formatCode>
                <c:ptCount val="7"/>
                <c:pt idx="0">
                  <c:v>4</c:v>
                </c:pt>
                <c:pt idx="1">
                  <c:v>26</c:v>
                </c:pt>
                <c:pt idx="2">
                  <c:v>17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</c:ser>
        <c:gapWidth val="100"/>
        <c:overlap val="0"/>
        <c:axId val="49380160"/>
        <c:axId val="18078617"/>
      </c:barChart>
      <c:catAx>
        <c:axId val="493801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Violent crime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8078617"/>
        <c:crosses val="autoZero"/>
        <c:auto val="1"/>
        <c:lblAlgn val="ctr"/>
        <c:lblOffset val="100"/>
      </c:catAx>
      <c:valAx>
        <c:axId val="1807861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9380160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Relative frequency of violent crime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Sheet1!$F$26:$F$32</c:f>
              <c:strCache>
                <c:ptCount val="7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</c:strCache>
            </c:strRef>
          </c:cat>
          <c:val>
            <c:numRef>
              <c:f>Sheet1!$H$26:$H$32</c:f>
              <c:numCache>
                <c:formatCode>General</c:formatCode>
                <c:ptCount val="7"/>
                <c:pt idx="0">
                  <c:v>0.0784313725490196</c:v>
                </c:pt>
                <c:pt idx="1">
                  <c:v>0.509803921568627</c:v>
                </c:pt>
                <c:pt idx="2">
                  <c:v>0.333333333333333</c:v>
                </c:pt>
                <c:pt idx="3">
                  <c:v>0.0588235294117647</c:v>
                </c:pt>
                <c:pt idx="4">
                  <c:v>0</c:v>
                </c:pt>
                <c:pt idx="5">
                  <c:v>0</c:v>
                </c:pt>
                <c:pt idx="6">
                  <c:v>0.0196078431372549</c:v>
                </c:pt>
              </c:numCache>
            </c:numRef>
          </c:val>
        </c:ser>
        <c:gapWidth val="100"/>
        <c:overlap val="0"/>
        <c:axId val="23000940"/>
        <c:axId val="62640055"/>
      </c:barChart>
      <c:catAx>
        <c:axId val="230009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Violent crime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2640055"/>
        <c:crosses val="autoZero"/>
        <c:auto val="1"/>
        <c:lblAlgn val="ctr"/>
        <c:lblOffset val="100"/>
      </c:catAx>
      <c:valAx>
        <c:axId val="6264005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Relative 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3000940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36360</xdr:colOff>
      <xdr:row>0</xdr:row>
      <xdr:rowOff>36000</xdr:rowOff>
    </xdr:from>
    <xdr:to>
      <xdr:col>14</xdr:col>
      <xdr:colOff>106560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572580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36360</xdr:colOff>
      <xdr:row>24</xdr:row>
      <xdr:rowOff>116280</xdr:rowOff>
    </xdr:from>
    <xdr:to>
      <xdr:col>15</xdr:col>
      <xdr:colOff>106560</xdr:colOff>
      <xdr:row>44</xdr:row>
      <xdr:rowOff>104760</xdr:rowOff>
    </xdr:to>
    <xdr:graphicFrame>
      <xdr:nvGraphicFramePr>
        <xdr:cNvPr id="1" name=""/>
        <xdr:cNvGraphicFramePr/>
      </xdr:nvGraphicFramePr>
      <xdr:xfrm>
        <a:off x="6538680" y="40176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1" activeCellId="0" sqref="C11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n">
        <v>449.9</v>
      </c>
      <c r="B1" s="0" t="n">
        <f aca="false">MIN(A1:A51)</f>
        <v>122.7</v>
      </c>
      <c r="C1" s="0" t="n">
        <v>122</v>
      </c>
      <c r="D1" s="0" t="n">
        <f aca="false" t="array" ref="D1:D7">FREQUENCY(A1:A51,C1:C7)</f>
        <v>0</v>
      </c>
      <c r="F1" s="0" t="n">
        <v>200</v>
      </c>
      <c r="G1" s="0" t="n">
        <f aca="false" t="array" ref="G1:G7">FREQUENCY(A1:A51,F1:F7)</f>
        <v>4</v>
      </c>
    </row>
    <row r="2" customFormat="false" ht="12.8" hidden="false" customHeight="false" outlineLevel="0" collapsed="false">
      <c r="A2" s="0" t="n">
        <v>1243.7</v>
      </c>
      <c r="B2" s="0" t="n">
        <f aca="false">MAX(A1:A51)</f>
        <v>1243.7</v>
      </c>
      <c r="C2" s="0" t="n">
        <f aca="false">C1+187</f>
        <v>309</v>
      </c>
      <c r="D2" s="0" t="n">
        <v>23</v>
      </c>
      <c r="F2" s="0" t="n">
        <f aca="false">F1+200</f>
        <v>400</v>
      </c>
      <c r="G2" s="0" t="n">
        <v>26</v>
      </c>
    </row>
    <row r="3" customFormat="false" ht="12.8" hidden="false" customHeight="false" outlineLevel="0" collapsed="false">
      <c r="A3" s="0" t="n">
        <v>354.6</v>
      </c>
      <c r="B3" s="0" t="n">
        <f aca="false">(B2-B1)/6</f>
        <v>186.833333333333</v>
      </c>
      <c r="C3" s="0" t="n">
        <f aca="false">C2+187</f>
        <v>496</v>
      </c>
      <c r="D3" s="0" t="n">
        <v>20</v>
      </c>
      <c r="F3" s="0" t="n">
        <f aca="false">F2+200</f>
        <v>600</v>
      </c>
      <c r="G3" s="0" t="n">
        <v>17</v>
      </c>
    </row>
    <row r="4" customFormat="false" ht="12.8" hidden="false" customHeight="false" outlineLevel="0" collapsed="false">
      <c r="A4" s="0" t="n">
        <v>260.8</v>
      </c>
      <c r="C4" s="0" t="n">
        <f aca="false">C3+187</f>
        <v>683</v>
      </c>
      <c r="D4" s="0" t="n">
        <v>7</v>
      </c>
      <c r="F4" s="0" t="n">
        <f aca="false">F3+200</f>
        <v>800</v>
      </c>
      <c r="G4" s="0" t="n">
        <v>3</v>
      </c>
    </row>
    <row r="5" customFormat="false" ht="12.8" hidden="false" customHeight="false" outlineLevel="0" collapsed="false">
      <c r="A5" s="0" t="n">
        <v>406.8</v>
      </c>
      <c r="C5" s="0" t="n">
        <f aca="false">C4+187</f>
        <v>870</v>
      </c>
      <c r="D5" s="0" t="n">
        <v>0</v>
      </c>
      <c r="F5" s="0" t="n">
        <f aca="false">F4+200</f>
        <v>1000</v>
      </c>
      <c r="G5" s="0" t="n">
        <v>0</v>
      </c>
    </row>
    <row r="6" customFormat="false" ht="12.8" hidden="false" customHeight="false" outlineLevel="0" collapsed="false">
      <c r="A6" s="0" t="n">
        <v>558.8</v>
      </c>
      <c r="C6" s="0" t="n">
        <f aca="false">C5+187</f>
        <v>1057</v>
      </c>
      <c r="D6" s="0" t="n">
        <v>0</v>
      </c>
      <c r="F6" s="0" t="n">
        <f aca="false">F5+200</f>
        <v>1200</v>
      </c>
      <c r="G6" s="0" t="n">
        <v>0</v>
      </c>
    </row>
    <row r="7" customFormat="false" ht="12.8" hidden="false" customHeight="false" outlineLevel="0" collapsed="false">
      <c r="A7" s="0" t="n">
        <v>316.3</v>
      </c>
      <c r="C7" s="0" t="n">
        <f aca="false">C6+187</f>
        <v>1244</v>
      </c>
      <c r="D7" s="0" t="n">
        <v>1</v>
      </c>
      <c r="F7" s="0" t="n">
        <f aca="false">F6+200</f>
        <v>1400</v>
      </c>
      <c r="G7" s="0" t="n">
        <v>1</v>
      </c>
    </row>
    <row r="8" customFormat="false" ht="12.8" hidden="false" customHeight="false" outlineLevel="0" collapsed="false">
      <c r="A8" s="0" t="n">
        <v>603.2</v>
      </c>
    </row>
    <row r="9" customFormat="false" ht="12.8" hidden="false" customHeight="false" outlineLevel="0" collapsed="false">
      <c r="A9" s="0" t="n">
        <v>487.1</v>
      </c>
    </row>
    <row r="10" customFormat="false" ht="12.8" hidden="false" customHeight="false" outlineLevel="0" collapsed="false">
      <c r="A10" s="0" t="n">
        <v>222.6</v>
      </c>
    </row>
    <row r="11" customFormat="false" ht="12.8" hidden="false" customHeight="false" outlineLevel="0" collapsed="false">
      <c r="A11" s="0" t="n">
        <v>450.9</v>
      </c>
    </row>
    <row r="12" customFormat="false" ht="12.8" hidden="false" customHeight="false" outlineLevel="0" collapsed="false">
      <c r="A12" s="0" t="n">
        <v>353.4</v>
      </c>
    </row>
    <row r="13" customFormat="false" ht="12.8" hidden="false" customHeight="false" outlineLevel="0" collapsed="false">
      <c r="A13" s="0" t="n">
        <v>321.8</v>
      </c>
    </row>
    <row r="14" customFormat="false" ht="12.8" hidden="false" customHeight="false" outlineLevel="0" collapsed="false">
      <c r="A14" s="0" t="n">
        <v>280.5</v>
      </c>
    </row>
    <row r="15" customFormat="false" ht="12.8" hidden="false" customHeight="false" outlineLevel="0" collapsed="false">
      <c r="A15" s="0" t="n">
        <v>428.9</v>
      </c>
    </row>
    <row r="16" customFormat="false" ht="12.8" hidden="false" customHeight="false" outlineLevel="0" collapsed="false">
      <c r="A16" s="0" t="n">
        <v>378.9</v>
      </c>
    </row>
    <row r="17" customFormat="false" ht="12.8" hidden="false" customHeight="false" outlineLevel="0" collapsed="false">
      <c r="A17" s="0" t="n">
        <v>496.9</v>
      </c>
    </row>
    <row r="18" customFormat="false" ht="12.8" hidden="false" customHeight="false" outlineLevel="0" collapsed="false">
      <c r="A18" s="0" t="n">
        <v>272.2</v>
      </c>
    </row>
    <row r="19" customFormat="false" ht="12.8" hidden="false" customHeight="false" outlineLevel="0" collapsed="false">
      <c r="A19" s="0" t="n">
        <v>244.7</v>
      </c>
    </row>
    <row r="20" customFormat="false" ht="12.8" hidden="false" customHeight="false" outlineLevel="0" collapsed="false">
      <c r="A20" s="0" t="n">
        <v>643.6</v>
      </c>
    </row>
    <row r="21" customFormat="false" ht="12.8" hidden="false" customHeight="false" outlineLevel="0" collapsed="false">
      <c r="A21" s="0" t="n">
        <v>201.4</v>
      </c>
    </row>
    <row r="22" customFormat="false" ht="12.8" hidden="false" customHeight="false" outlineLevel="0" collapsed="false">
      <c r="A22" s="0" t="n">
        <v>469.1</v>
      </c>
    </row>
    <row r="23" customFormat="false" ht="12.8" hidden="false" customHeight="false" outlineLevel="0" collapsed="false">
      <c r="A23" s="0" t="n">
        <v>239.2</v>
      </c>
    </row>
    <row r="24" customFormat="false" ht="12.8" hidden="false" customHeight="false" outlineLevel="0" collapsed="false">
      <c r="A24" s="0" t="n">
        <v>122.7</v>
      </c>
    </row>
    <row r="25" customFormat="false" ht="12.8" hidden="false" customHeight="false" outlineLevel="0" collapsed="false">
      <c r="A25" s="0" t="n">
        <v>259.4</v>
      </c>
    </row>
    <row r="26" customFormat="false" ht="12.8" hidden="false" customHeight="false" outlineLevel="0" collapsed="false">
      <c r="A26" s="0" t="n">
        <v>299.7</v>
      </c>
      <c r="F26" s="0" t="n">
        <v>200</v>
      </c>
      <c r="G26" s="0" t="n">
        <v>4</v>
      </c>
      <c r="H26" s="0" t="n">
        <f aca="false">G26/$G$34</f>
        <v>0.0784313725490196</v>
      </c>
    </row>
    <row r="27" customFormat="false" ht="12.8" hidden="false" customHeight="false" outlineLevel="0" collapsed="false">
      <c r="A27" s="0" t="n">
        <v>408.6</v>
      </c>
      <c r="F27" s="0" t="n">
        <v>400</v>
      </c>
      <c r="G27" s="0" t="n">
        <v>26</v>
      </c>
      <c r="H27" s="0" t="n">
        <f aca="false">G27/$G$34</f>
        <v>0.509803921568627</v>
      </c>
    </row>
    <row r="28" customFormat="false" ht="12.8" hidden="false" customHeight="false" outlineLevel="0" collapsed="false">
      <c r="A28" s="0" t="n">
        <v>423.1</v>
      </c>
      <c r="F28" s="0" t="n">
        <v>600</v>
      </c>
      <c r="G28" s="0" t="n">
        <v>17</v>
      </c>
      <c r="H28" s="0" t="n">
        <f aca="false">G28/$G$34</f>
        <v>0.333333333333333</v>
      </c>
    </row>
    <row r="29" customFormat="false" ht="12.8" hidden="false" customHeight="false" outlineLevel="0" collapsed="false">
      <c r="A29" s="0" t="n">
        <v>207.9</v>
      </c>
      <c r="F29" s="0" t="n">
        <v>800</v>
      </c>
      <c r="G29" s="0" t="n">
        <v>3</v>
      </c>
      <c r="H29" s="0" t="n">
        <f aca="false">G29/$G$34</f>
        <v>0.0588235294117647</v>
      </c>
    </row>
    <row r="30" customFormat="false" ht="12.8" hidden="false" customHeight="false" outlineLevel="0" collapsed="false">
      <c r="A30" s="0" t="n">
        <v>476.8</v>
      </c>
      <c r="F30" s="0" t="n">
        <v>1000</v>
      </c>
      <c r="G30" s="0" t="n">
        <v>0</v>
      </c>
      <c r="H30" s="0" t="n">
        <f aca="false">G30/$G$34</f>
        <v>0</v>
      </c>
    </row>
    <row r="31" customFormat="false" ht="12.8" hidden="false" customHeight="false" outlineLevel="0" collapsed="false">
      <c r="A31" s="0" t="n">
        <v>607.6</v>
      </c>
      <c r="F31" s="0" t="n">
        <v>1200</v>
      </c>
      <c r="G31" s="0" t="n">
        <v>0</v>
      </c>
      <c r="H31" s="0" t="n">
        <f aca="false">G31/$G$34</f>
        <v>0</v>
      </c>
    </row>
    <row r="32" customFormat="false" ht="12.8" hidden="false" customHeight="false" outlineLevel="0" collapsed="false">
      <c r="A32" s="0" t="n">
        <v>469.3</v>
      </c>
      <c r="F32" s="0" t="n">
        <v>1400</v>
      </c>
      <c r="G32" s="0" t="n">
        <v>1</v>
      </c>
      <c r="H32" s="0" t="n">
        <f aca="false">G32/$G$34</f>
        <v>0.0196078431372549</v>
      </c>
    </row>
    <row r="33" customFormat="false" ht="12.8" hidden="false" customHeight="false" outlineLevel="0" collapsed="false">
      <c r="A33" s="0" t="n">
        <v>205.8</v>
      </c>
    </row>
    <row r="34" customFormat="false" ht="12.8" hidden="false" customHeight="false" outlineLevel="0" collapsed="false">
      <c r="A34" s="0" t="n">
        <v>308.9</v>
      </c>
      <c r="F34" s="0" t="s">
        <v>0</v>
      </c>
      <c r="G34" s="0" t="n">
        <f aca="false">SUM(G26:G32)</f>
        <v>51</v>
      </c>
    </row>
    <row r="35" customFormat="false" ht="12.8" hidden="false" customHeight="false" outlineLevel="0" collapsed="false">
      <c r="A35" s="0" t="n">
        <v>414.8</v>
      </c>
    </row>
    <row r="36" customFormat="false" ht="12.8" hidden="false" customHeight="false" outlineLevel="0" collapsed="false">
      <c r="A36" s="0" t="n">
        <v>405.5</v>
      </c>
    </row>
    <row r="37" customFormat="false" ht="12.8" hidden="false" customHeight="false" outlineLevel="0" collapsed="false">
      <c r="A37" s="0" t="n">
        <v>187.9</v>
      </c>
    </row>
    <row r="38" customFormat="false" ht="12.8" hidden="false" customHeight="false" outlineLevel="0" collapsed="false">
      <c r="A38" s="0" t="n">
        <v>247.6</v>
      </c>
    </row>
    <row r="39" customFormat="false" ht="12.8" hidden="false" customHeight="false" outlineLevel="0" collapsed="false">
      <c r="A39" s="0" t="n">
        <v>142.6</v>
      </c>
    </row>
    <row r="40" customFormat="false" ht="12.8" hidden="false" customHeight="false" outlineLevel="0" collapsed="false">
      <c r="A40" s="0" t="n">
        <v>283</v>
      </c>
    </row>
    <row r="41" customFormat="false" ht="12.8" hidden="false" customHeight="false" outlineLevel="0" collapsed="false">
      <c r="A41" s="0" t="n">
        <v>345.7</v>
      </c>
    </row>
    <row r="42" customFormat="false" ht="12.8" hidden="false" customHeight="false" outlineLevel="0" collapsed="false">
      <c r="A42" s="0" t="n">
        <v>454.5</v>
      </c>
    </row>
    <row r="43" customFormat="false" ht="12.8" hidden="false" customHeight="false" outlineLevel="0" collapsed="false">
      <c r="A43" s="0" t="n">
        <v>290.2</v>
      </c>
    </row>
    <row r="44" customFormat="false" ht="12.8" hidden="false" customHeight="false" outlineLevel="0" collapsed="false">
      <c r="A44" s="0" t="n">
        <v>348.7</v>
      </c>
    </row>
    <row r="45" customFormat="false" ht="12.8" hidden="false" customHeight="false" outlineLevel="0" collapsed="false">
      <c r="A45" s="0" t="n">
        <v>190.1</v>
      </c>
    </row>
    <row r="46" customFormat="false" ht="12.8" hidden="false" customHeight="false" outlineLevel="0" collapsed="false">
      <c r="A46" s="0" t="n">
        <v>547.4</v>
      </c>
    </row>
    <row r="47" customFormat="false" ht="12.8" hidden="false" customHeight="false" outlineLevel="0" collapsed="false">
      <c r="A47" s="0" t="n">
        <v>263.9</v>
      </c>
    </row>
    <row r="48" customFormat="false" ht="12.8" hidden="false" customHeight="false" outlineLevel="0" collapsed="false">
      <c r="A48" s="0" t="n">
        <v>230.9</v>
      </c>
    </row>
    <row r="49" customFormat="false" ht="12.8" hidden="false" customHeight="false" outlineLevel="0" collapsed="false">
      <c r="A49" s="0" t="n">
        <v>559.1</v>
      </c>
    </row>
    <row r="50" customFormat="false" ht="12.8" hidden="false" customHeight="false" outlineLevel="0" collapsed="false">
      <c r="A50" s="0" t="n">
        <v>252.4</v>
      </c>
    </row>
    <row r="51" customFormat="false" ht="12.8" hidden="false" customHeight="false" outlineLevel="0" collapsed="false">
      <c r="A51" s="0" t="n">
        <v>295.6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2021-05-12T15:05:14Z</dcterms:created>
  <dc:creator/>
  <dc:description/>
  <dc:language>en-US</dc:language>
  <cp:lastModifiedBy/>
  <dcterms:modified xsi:type="dcterms:W3CDTF">2021-05-12T15:33:11Z</dcterms:modified>
  <cp:revision>3</cp:revision>
  <dc:subject/>
  <dc:title/>
</cp:coreProperties>
</file>