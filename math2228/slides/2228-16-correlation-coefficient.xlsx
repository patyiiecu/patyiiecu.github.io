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35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<sst xmlns="http://schemas.openxmlformats.org/spreadsheetml/2006/main" count="11" uniqueCount="11">
  <si>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x</t>
  </si>
  <si>
    <t xml:space="preserve">y</t>
  </si>
  <si>
    <t xml:space="preserve">(correlation coefficient)=r=</t>
  </si>
  <si>
    <t xml:space="preserve">z_x=(x-(x bar))/s_x</t>
  </si>
  <si>
    <t xml:space="preserve">z_y=(y-(y bar))/s_y</t>
  </si>
  <si>
    <t xml:space="preserve">1/(n-1)*dot(z_x,z_y)</t>
  </si>
  <si>
    <t xml:space="preserve">(mean x)=(x bar)=</t>
  </si>
  <si>
    <t xml:space="preserve">(mean y)=(y bar)=</t>
  </si>
  <si>
    <t xml:space="preserve">(st dev x)=s_x=</t>
  </si>
  <si>
    <t xml:space="preserve">(st dev y)=s_y=</t>
  </si>
  <si>
    <t xml:space="preserve">(count)=n=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</si>
</sst>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Sheet1!$A$2:$A$6</c:f>
              <c:numCache>
                <c:formatCode>General</c:formatCode>
                <c:ptCount val="5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7</c:v>
                </c:pt>
              </c:numCache>
            </c:numRef>
          </c:xVal>
          <c:yVal>
            <c:numRef>
              <c:f>Sheet1!$B$2:$B$6</c:f>
              <c:numCache>
                <c:formatCode>General</c:formatCode>
                <c:ptCount val="5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6</c:v>
                </c:pt>
                <c:pt idx="4">
                  <c:v>4</c:v>
                </c:pt>
              </c:numCache>
            </c:numRef>
          </c:yVal>
          <c:smooth val="0"/>
        </c:ser>
        <c:axId val="94064898"/>
        <c:axId val="36221650"/>
      </c:scatterChart>
      <c:valAx>
        <c:axId val="9406489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x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36221650"/>
        <c:crosses val="autoZero"/>
        <c:crossBetween val="midCat"/>
      </c:valAx>
      <c:valAx>
        <c:axId val="36221650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9406489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3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7</xdr:row>
      <xdr:rowOff>19440</xdr:rowOff>
    </xdr:from>
    <xdr:to>
      <xdr:col>7</xdr:col>
      <xdr:colOff>70200</xdr:colOff>
      <xdr:row>27</xdr:row>
      <xdr:rowOff>7560</xdr:rowOff>
    </xdr:to>
    <xdr:graphicFrame>
      <xdr:nvGraphicFramePr>
        <xdr:cNvPr id="0" name=""/>
        <xdr:cNvGraphicFramePr/>
      </xdr:nvGraphicFramePr>
      <xdr:xfrm>
        <a:off x="0" y="115704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I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O10" activeCellId="0" sqref="O10"/>
    </sheetView>
  </sheetViews>
  <sheetFormatPr defaultRowHeight="12.8"/>
  <cols>
    <col collapsed="false" hidden="false" max="7" min="1" style="0" width="11.5204081632653"/>
    <col collapsed="false" hidden="false" max="8" min="8" style="0" width="16.3622448979592"/>
    <col collapsed="false" hidden="false" max="1025" min="9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F1" s="0" t="n">
        <f aca="false">CORREL(A2:A6,B2:B6)</f>
        <v>-0.9456108576893</v>
      </c>
      <c r="H1" s="0" t="s">
        <v>3</v>
      </c>
      <c r="I1" s="0" t="s">
        <v>4</v>
      </c>
    </row>
    <row r="2" customFormat="false" ht="12.8" hidden="false" customHeight="false" outlineLevel="0" collapsed="false">
      <c r="A2" s="0" t="n">
        <v>1</v>
      </c>
      <c r="B2" s="0" t="n">
        <v>18</v>
      </c>
      <c r="D2" s="0" t="s">
        <v>5</v>
      </c>
      <c r="F2" s="0" t="n">
        <f aca="false">1/(F7-1)*SUMPRODUCT(H2:H6,I2:I6)</f>
        <v>-0.9456108576893</v>
      </c>
      <c r="H2" s="0" t="n">
        <f aca="false">(A2-$F$3)/$F$5</f>
        <v>-1.22474487139159</v>
      </c>
      <c r="I2" s="0" t="n">
        <f aca="false">(B2-$F$4)/$F$6</f>
        <v>1.4253932901996</v>
      </c>
    </row>
    <row r="3" customFormat="false" ht="12.8" hidden="false" customHeight="false" outlineLevel="0" collapsed="false">
      <c r="A3" s="0" t="n">
        <v>3</v>
      </c>
      <c r="B3" s="0" t="n">
        <v>13</v>
      </c>
      <c r="D3" s="0" t="s">
        <v>6</v>
      </c>
      <c r="F3" s="0" t="n">
        <f aca="false">AVERAGE(A2:A6)</f>
        <v>4</v>
      </c>
      <c r="H3" s="0" t="n">
        <f aca="false">(A3-$F$3)/$F$5</f>
        <v>-0.408248290463863</v>
      </c>
      <c r="I3" s="0" t="n">
        <f aca="false">(B3-$F$4)/$F$6</f>
        <v>0.534522483824849</v>
      </c>
    </row>
    <row r="4" customFormat="false" ht="12.8" hidden="false" customHeight="false" outlineLevel="0" collapsed="false">
      <c r="A4" s="0" t="n">
        <v>3</v>
      </c>
      <c r="B4" s="0" t="n">
        <v>9</v>
      </c>
      <c r="D4" s="0" t="s">
        <v>7</v>
      </c>
      <c r="F4" s="0" t="n">
        <f aca="false">AVERAGE(B2:B6)</f>
        <v>10</v>
      </c>
      <c r="H4" s="0" t="n">
        <f aca="false">(A4-$F$3)/$F$5</f>
        <v>-0.408248290463863</v>
      </c>
      <c r="I4" s="0" t="n">
        <f aca="false">(B4-$F$4)/$F$6</f>
        <v>-0.17817416127495</v>
      </c>
    </row>
    <row r="5" customFormat="false" ht="12.8" hidden="false" customHeight="false" outlineLevel="0" collapsed="false">
      <c r="A5" s="0" t="n">
        <v>6</v>
      </c>
      <c r="B5" s="0" t="n">
        <v>6</v>
      </c>
      <c r="D5" s="0" t="s">
        <v>8</v>
      </c>
      <c r="F5" s="0" t="n">
        <f aca="false">STDEV(A2:A6)</f>
        <v>2.44948974278318</v>
      </c>
      <c r="H5" s="0" t="n">
        <f aca="false">(A5-$F$3)/$F$5</f>
        <v>0.816496580927726</v>
      </c>
      <c r="I5" s="0" t="n">
        <f aca="false">(B5-$F$4)/$F$6</f>
        <v>-0.712696645099798</v>
      </c>
    </row>
    <row r="6" customFormat="false" ht="12.8" hidden="false" customHeight="false" outlineLevel="0" collapsed="false">
      <c r="A6" s="0" t="n">
        <v>7</v>
      </c>
      <c r="B6" s="0" t="n">
        <v>4</v>
      </c>
      <c r="D6" s="0" t="s">
        <v>9</v>
      </c>
      <c r="F6" s="0" t="n">
        <f aca="false">STDEV(B2:B6)</f>
        <v>5.61248608016091</v>
      </c>
      <c r="H6" s="0" t="n">
        <f aca="false">(A6-$F$3)/$F$5</f>
        <v>1.22474487139159</v>
      </c>
      <c r="I6" s="0" t="n">
        <f aca="false">(B6-$F$4)/$F$6</f>
        <v>-1.0690449676497</v>
      </c>
    </row>
    <row r="7" customFormat="false" ht="12.8" hidden="false" customHeight="false" outlineLevel="0" collapsed="false">
      <c r="D7" s="0" t="s">
        <v>10</v>
      </c>
      <c r="F7" s="0" t="n">
        <f aca="false">COUNT(A2:A6)</f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2021-05-19T19:21:40Z</dcterms:created>
  <dc:creator/>
  <dc:description/>
  <dc:language>en-US</dc:language>
  <cp:lastModifiedBy/>
  <dcterms:modified xsi:type="dcterms:W3CDTF">2021-05-19T23:41:35Z</dcterms:modified>
  <cp:revision>4</cp:revision>
  <dc:subject/>
  <dc:title/>
</cp:coreProperties>
</file>