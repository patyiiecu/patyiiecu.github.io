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<sst xmlns="http://schemas.openxmlformats.org/spreadsheetml/2006/main" count="21" uniqueCount="18">
  <si>
    <t xml:space="preserve">n=sample count</t>
  </si>
  <si>
    <t xml:space="preserve">N=population count</t>
  </si>
  <si>
    <t xml:space="preserve">p=success probability</t>
  </si>
  <si>
    <t xml:space="preserve">( a )</t>
  </si>
  <si>
    <t xml:space="preserve">Is n&lt;=0.05*N?</t>
  </si>
  <si>
    <t xml:space="preserve">0.05*N</t>
  </si>
  <si>
    <t xml:space="preserve">Yes.</t>
  </si>
  <si>
    <t xml:space="preserve">n</t>
  </si>
  <si>
    <t xml:space="preserve">var(x)=n*p*(1-p)&gt;=10?</t>
  </si>
  <si>
    <t xml:space="preserve">Hence (p hat) has normal distribution with</t>
  </si>
  <si>
    <t xml:space="preserve">mean=p</t>
  </si>
  <si>
    <t xml:space="preserve">st dev=sqrt(p*(1-p)/n)</t>
  </si>
  <si>
    <t xml:space="preserve">( b )  P((hat p)&gt;=0.84)</t>
  </si>
  <si>
    <t xml:space="preserve">1-norm.dist(0.84,b11,b12,1)</t>
  </si>
  <si>
    <t xml:space="preserve">x</t>
  </si>
  <si>
    <t xml:space="preserve">x/n</t>
  </si>
  <si>
    <t xml:space="preserve">( c )  P((hat p)&lt;=0.68)</t>
  </si>
  <si>
    <t xml:space="preserve">norm.dist(0.68,b11,b12,1)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</si>
</sst>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6" activeCellId="0" sqref="M36"/>
    </sheetView>
  </sheetViews>
  <sheetFormatPr defaultRowHeight="12.8"/>
  <cols>
    <col collapsed="false" hidden="false" max="1" min="1" style="0" width="34.8112244897959"/>
    <col collapsed="false" hidden="false" max="2" min="2" style="0" width="23.7295918367347"/>
    <col collapsed="false" hidden="false" max="3" min="3" style="0" width="12.7244897959184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n">
        <v>75</v>
      </c>
    </row>
    <row r="2" customFormat="false" ht="12.8" hidden="false" customHeight="false" outlineLevel="0" collapsed="false">
      <c r="A2" s="0" t="s">
        <v>1</v>
      </c>
      <c r="B2" s="0" t="n">
        <v>10000</v>
      </c>
    </row>
    <row r="3" customFormat="false" ht="12.8" hidden="false" customHeight="false" outlineLevel="0" collapsed="false">
      <c r="A3" s="0" t="s">
        <v>2</v>
      </c>
      <c r="B3" s="0" t="n">
        <v>0.8</v>
      </c>
    </row>
    <row r="5" customFormat="false" ht="12.8" hidden="false" customHeight="false" outlineLevel="0" collapsed="false">
      <c r="A5" s="0" t="s">
        <v>3</v>
      </c>
    </row>
    <row r="6" customFormat="false" ht="12.8" hidden="false" customHeight="false" outlineLevel="0" collapsed="false">
      <c r="A6" s="0" t="s">
        <v>4</v>
      </c>
      <c r="B6" s="0" t="s">
        <v>5</v>
      </c>
      <c r="C6" s="0" t="n">
        <f aca="false">0.05*B2</f>
        <v>500</v>
      </c>
    </row>
    <row r="7" customFormat="false" ht="12.8" hidden="false" customHeight="false" outlineLevel="0" collapsed="false">
      <c r="A7" s="0" t="s">
        <v>6</v>
      </c>
      <c r="B7" s="0" t="s">
        <v>7</v>
      </c>
      <c r="C7" s="0" t="n">
        <f aca="false">B1</f>
        <v>75</v>
      </c>
    </row>
    <row r="8" customFormat="false" ht="12.8" hidden="false" customHeight="false" outlineLevel="0" collapsed="false">
      <c r="A8" s="0" t="s">
        <v>8</v>
      </c>
      <c r="B8" s="0" t="n">
        <f aca="false">B1*B3*(1-B3)</f>
        <v>12</v>
      </c>
    </row>
    <row r="9" customFormat="false" ht="12.8" hidden="false" customHeight="false" outlineLevel="0" collapsed="false">
      <c r="A9" s="0" t="s">
        <v>6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  <c r="B11" s="0" t="n">
        <f aca="false">B3</f>
        <v>0.8</v>
      </c>
    </row>
    <row r="12" customFormat="false" ht="12.8" hidden="false" customHeight="false" outlineLevel="0" collapsed="false">
      <c r="A12" s="0" t="s">
        <v>11</v>
      </c>
      <c r="B12" s="0" t="n">
        <f aca="false">SQRT(B3*(1-B3)/B1)</f>
        <v>0.0461880215351701</v>
      </c>
    </row>
    <row r="14" customFormat="false" ht="12.8" hidden="false" customHeight="false" outlineLevel="0" collapsed="false">
      <c r="A14" s="0" t="s">
        <v>12</v>
      </c>
      <c r="B14" s="0" t="s">
        <v>13</v>
      </c>
      <c r="C14" s="0" t="n">
        <f aca="false">1-_xlfn.NORM.DIST(B16,$B$11,$B$12,1)</f>
        <v>0.193238115385617</v>
      </c>
    </row>
    <row r="15" customFormat="false" ht="12.8" hidden="false" customHeight="false" outlineLevel="0" collapsed="false">
      <c r="A15" s="0" t="s">
        <v>14</v>
      </c>
      <c r="B15" s="0" t="n">
        <v>63</v>
      </c>
    </row>
    <row r="16" customFormat="false" ht="12.8" hidden="false" customHeight="false" outlineLevel="0" collapsed="false">
      <c r="A16" s="0" t="s">
        <v>15</v>
      </c>
      <c r="B16" s="0" t="n">
        <f aca="false">B15/$B$1</f>
        <v>0.84</v>
      </c>
    </row>
    <row r="18" customFormat="false" ht="12.8" hidden="false" customHeight="false" outlineLevel="0" collapsed="false">
      <c r="A18" s="0" t="s">
        <v>16</v>
      </c>
      <c r="B18" s="0" t="s">
        <v>17</v>
      </c>
      <c r="C18" s="0" t="n">
        <f aca="false">_xlfn.NORM.DIST(B20,$B$11,$B$12,1)</f>
        <v>0.00468738422971745</v>
      </c>
    </row>
    <row r="19" customFormat="false" ht="12.8" hidden="false" customHeight="false" outlineLevel="0" collapsed="false">
      <c r="A19" s="0" t="s">
        <v>14</v>
      </c>
      <c r="B19" s="0" t="n">
        <v>51</v>
      </c>
    </row>
    <row r="20" customFormat="false" ht="12.8" hidden="false" customHeight="false" outlineLevel="0" collapsed="false">
      <c r="A20" s="0" t="s">
        <v>15</v>
      </c>
      <c r="B20" s="0" t="n">
        <f aca="false">B19/$B$1</f>
        <v>0.68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2021-06-02T13:54:20Z</dcterms:created>
  <dc:creator/>
  <dc:description/>
  <dc:language>en-US</dc:language>
  <cp:lastModifiedBy/>
  <dcterms:modified xsi:type="dcterms:W3CDTF">2021-06-02T14:06:16Z</dcterms:modified>
  <cp:revision>2</cp:revision>
  <dc:subject/>
  <dc:title/>
</cp:coreProperties>
</file>