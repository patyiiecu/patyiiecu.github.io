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<sst xmlns="http://schemas.openxmlformats.org/spreadsheetml/2006/main" count="27" uniqueCount="25">
  <si>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proportion</t>
  </si>
  <si>
    <t xml:space="preserve">H_0: p=p_0</t>
  </si>
  <si>
    <t xml:space="preserve">p_0</t>
  </si>
  <si>
    <t xml:space="preserve">n</t>
  </si>
  <si>
    <t xml:space="preserve">x</t>
  </si>
  <si>
    <t xml:space="preserve">alpha</t>
  </si>
  <si>
    <t xml:space="preserve">p_hat=x/n</t>
  </si>
  <si>
    <t xml:space="preserve">var(x)=n*p_0*(1-p_0)</t>
  </si>
  <si>
    <t xml:space="preserve">p_hat has normal distribution with</t>
  </si>
  <si>
    <t xml:space="preserve">mean=p_0</t>
  </si>
  <si>
    <t xml:space="preserve">st dev=sqrt(p_0*(1-p_0)/n)</t>
  </si>
  <si>
    <t xml:space="preserve">z=(p_hat-p_0)/(st dev)</t>
  </si>
  <si>
    <t xml:space="preserve">H_1: p&lt;p_0</t>
  </si>
  <si>
    <t xml:space="preserve">z_crit=norm.inv(alpha,0,1)</t>
  </si>
  <si>
    <t xml:space="preserve">z&lt;z_crit ?</t>
  </si>
  <si>
    <t xml:space="preserve">p-value=P(Z&lt;z)=NORM.DIST(B12,0,1,1)</t>
  </si>
  <si>
    <t xml:space="preserve">(p-value)&lt;alpha ?</t>
  </si>
  <si>
    <t xml:space="preserve">H_1: p&gt;p_0</t>
  </si>
  <si>
    <t xml:space="preserve">z_crit=-norm.inv(alpha,0,1)</t>
  </si>
  <si>
    <t xml:space="preserve">z&gt;z_crit ?</t>
  </si>
  <si>
    <t xml:space="preserve">p-value=P(Z&gt;z)=1-NORM.DIST(B12,0,1,1)</t>
  </si>
  <si>
    <t xml:space="preserve">H_1: p&lt;&gt;p_0</t>
  </si>
  <si>
    <t xml:space="preserve">z_crit=-norm.inv(alpha/2,0,1)</t>
  </si>
  <si>
    <t xml:space="preserve">|z|&gt;z_crit ?</t>
  </si>
  <si>
    <t xml:space="preserve">p-value=P(|Z|&gt;|z|)=2*(1-NORM.DIST(ABS(B12),0,1,1))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</si>
</sst>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0" activeCellId="0" sqref="L40"/>
    </sheetView>
  </sheetViews>
  <sheetFormatPr defaultRowHeight="12.8"/>
  <cols>
    <col collapsed="false" hidden="false" max="1" min="1" style="0" width="45.2295918367347"/>
    <col collapsed="false" hidden="false" max="2" min="2" style="0" width="18.1989795918367"/>
    <col collapsed="false" hidden="false" max="3" min="3" style="0" width="10.0612244897959"/>
    <col collapsed="false" hidden="false" max="6" min="4" style="0" width="11.5204081632653"/>
    <col collapsed="false" hidden="false" max="7" min="7" style="0" width="24.5051020408163"/>
    <col collapsed="false" hidden="false" max="8" min="8" style="0" width="14.1275510204082"/>
    <col collapsed="false" hidden="false" max="1025" min="9" style="0" width="11.52040816326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2" t="n">
        <v>0.52</v>
      </c>
    </row>
    <row r="4" customFormat="false" ht="12.8" hidden="false" customHeight="false" outlineLevel="0" collapsed="false">
      <c r="A4" s="0" t="s">
        <v>3</v>
      </c>
      <c r="B4" s="2" t="n">
        <v>800</v>
      </c>
    </row>
    <row r="5" customFormat="false" ht="12.8" hidden="false" customHeight="false" outlineLevel="0" collapsed="false">
      <c r="A5" s="0" t="s">
        <v>4</v>
      </c>
      <c r="B5" s="2" t="n">
        <v>256</v>
      </c>
    </row>
    <row r="6" customFormat="false" ht="12.8" hidden="false" customHeight="false" outlineLevel="0" collapsed="false">
      <c r="A6" s="0" t="s">
        <v>5</v>
      </c>
      <c r="B6" s="2" t="n">
        <v>0.05</v>
      </c>
    </row>
    <row r="7" customFormat="false" ht="12.8" hidden="false" customHeight="false" outlineLevel="0" collapsed="false">
      <c r="A7" s="0" t="s">
        <v>6</v>
      </c>
      <c r="B7" s="0" t="n">
        <f aca="false">B5/B4</f>
        <v>0.32</v>
      </c>
    </row>
    <row r="8" customFormat="false" ht="12.8" hidden="false" customHeight="false" outlineLevel="0" collapsed="false">
      <c r="A8" s="0" t="s">
        <v>7</v>
      </c>
      <c r="B8" s="0" t="n">
        <f aca="false">B4*B3*(1-B3)</f>
        <v>199.68</v>
      </c>
      <c r="C8" s="0" t="str">
        <f aca="false">IF(B8&gt;=10,"&gt;=10 good","&lt;10 too small")</f>
        <v>&gt;=10 good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  <c r="B10" s="0" t="n">
        <f aca="false">B3</f>
        <v>0.52</v>
      </c>
    </row>
    <row r="11" customFormat="false" ht="12.8" hidden="false" customHeight="false" outlineLevel="0" collapsed="false">
      <c r="A11" s="0" t="s">
        <v>10</v>
      </c>
      <c r="B11" s="0" t="n">
        <f aca="false">SQRT(B3*(1-B3)/B4)</f>
        <v>0.0176635217326557</v>
      </c>
    </row>
    <row r="12" customFormat="false" ht="12.8" hidden="false" customHeight="false" outlineLevel="0" collapsed="false">
      <c r="A12" s="0" t="s">
        <v>11</v>
      </c>
      <c r="B12" s="0" t="n">
        <f aca="false">(B7-B3)/B11</f>
        <v>-11.322770341446</v>
      </c>
    </row>
    <row r="15" customFormat="false" ht="12.8" hidden="false" customHeight="false" outlineLevel="0" collapsed="false">
      <c r="B15" s="1" t="s">
        <v>12</v>
      </c>
    </row>
    <row r="16" customFormat="false" ht="12.8" hidden="false" customHeight="false" outlineLevel="0" collapsed="false">
      <c r="A16" s="0" t="s">
        <v>13</v>
      </c>
      <c r="B16" s="0" t="n">
        <f aca="false">_xlfn.NORM.INV(B6,0,1)</f>
        <v>-1.64485362695147</v>
      </c>
    </row>
    <row r="17" customFormat="false" ht="12.8" hidden="false" customHeight="false" outlineLevel="0" collapsed="false">
      <c r="A17" s="0" t="s">
        <v>14</v>
      </c>
      <c r="B17" s="0" t="str">
        <f aca="false">IF(B12&lt;B16,"Yes, reject H_0.", "No, fail to reject H_0.")</f>
        <v>Yes, reject H_0.</v>
      </c>
    </row>
    <row r="18" customFormat="false" ht="12.8" hidden="false" customHeight="false" outlineLevel="0" collapsed="false">
      <c r="A18" s="0" t="s">
        <v>15</v>
      </c>
      <c r="B18" s="0" t="n">
        <f aca="false">_xlfn.NORM.DIST(B12,0,1,1)</f>
        <v>5.06108523475107E-030</v>
      </c>
    </row>
    <row r="19" customFormat="false" ht="12.8" hidden="false" customHeight="false" outlineLevel="0" collapsed="false">
      <c r="A19" s="0" t="s">
        <v>16</v>
      </c>
      <c r="B19" s="0" t="str">
        <f aca="false">IF(B18&lt;$B$6,"Yes.","No.")</f>
        <v>Yes.</v>
      </c>
    </row>
    <row r="21" customFormat="false" ht="12.8" hidden="false" customHeight="false" outlineLevel="0" collapsed="false">
      <c r="A21" s="0" t="str">
        <f aca="false">IF(B19="No.", "There is not sufficient evidence at the "&amp;(1-$B$6)*100&amp;"% level of significance to reject the null hypothesis.","There is sufficient evidence at the "&amp;(1-$B$6)*100&amp;"% level of significance to reject the null hypothesis.")</f>
        <v>There is sufficient evidence at the 95% level of significance to reject the null hypothesis.</v>
      </c>
    </row>
    <row r="24" customFormat="false" ht="12.8" hidden="false" customHeight="false" outlineLevel="0" collapsed="false">
      <c r="B24" s="1" t="s">
        <v>17</v>
      </c>
    </row>
    <row r="25" customFormat="false" ht="12.8" hidden="false" customHeight="false" outlineLevel="0" collapsed="false">
      <c r="A25" s="0" t="s">
        <v>18</v>
      </c>
      <c r="B25" s="0" t="n">
        <f aca="false">-_xlfn.NORM.INV(B6,0,1)</f>
        <v>1.64485362695147</v>
      </c>
    </row>
    <row r="26" customFormat="false" ht="12.8" hidden="false" customHeight="false" outlineLevel="0" collapsed="false">
      <c r="A26" s="0" t="s">
        <v>19</v>
      </c>
      <c r="B26" s="0" t="str">
        <f aca="false">IF(B12&gt;B25,"Yes, reject H_0.","No, fail to reject H_0.")</f>
        <v>No, fail to reject H_0.</v>
      </c>
    </row>
    <row r="27" customFormat="false" ht="12.8" hidden="false" customHeight="false" outlineLevel="0" collapsed="false">
      <c r="A27" s="0" t="s">
        <v>20</v>
      </c>
      <c r="B27" s="0" t="n">
        <f aca="false">1-_xlfn.NORM.DIST(B12,0,1,1)</f>
        <v>1</v>
      </c>
    </row>
    <row r="28" customFormat="false" ht="12.8" hidden="false" customHeight="false" outlineLevel="0" collapsed="false">
      <c r="A28" s="0" t="s">
        <v>16</v>
      </c>
      <c r="B28" s="0" t="str">
        <f aca="false">IF(B27&lt;$B$6,"Yes.","No.")</f>
        <v>No.</v>
      </c>
    </row>
    <row r="30" customFormat="false" ht="12.8" hidden="false" customHeight="false" outlineLevel="0" collapsed="false">
      <c r="A30" s="0" t="str">
        <f aca="false">IF(B28="No.",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</row>
    <row r="33" customFormat="false" ht="12.8" hidden="false" customHeight="false" outlineLevel="0" collapsed="false">
      <c r="B33" s="1" t="s">
        <v>21</v>
      </c>
    </row>
    <row r="34" customFormat="false" ht="12.8" hidden="false" customHeight="false" outlineLevel="0" collapsed="false">
      <c r="A34" s="0" t="s">
        <v>22</v>
      </c>
      <c r="B34" s="0" t="n">
        <f aca="false">-_xlfn.NORM.INV(B6/2,0,1)</f>
        <v>1.95996398454005</v>
      </c>
    </row>
    <row r="35" customFormat="false" ht="12.8" hidden="false" customHeight="false" outlineLevel="0" collapsed="false">
      <c r="A35" s="0" t="s">
        <v>23</v>
      </c>
      <c r="B35" s="0" t="str">
        <f aca="false">IF(ABS(B12)&gt;B34,"Yes, reject H_0.","No, fail to reject H_0.")</f>
        <v>Yes, reject H_0.</v>
      </c>
    </row>
    <row r="36" customFormat="false" ht="12.8" hidden="false" customHeight="false" outlineLevel="0" collapsed="false">
      <c r="A36" s="0" t="s">
        <v>24</v>
      </c>
      <c r="B36" s="0" t="n">
        <f aca="false">2*(1-_xlfn.NORM.DIST(ABS(B12),0,1,1))</f>
        <v>0</v>
      </c>
    </row>
    <row r="37" customFormat="false" ht="12.8" hidden="false" customHeight="false" outlineLevel="0" collapsed="false">
      <c r="A37" s="0" t="s">
        <v>16</v>
      </c>
      <c r="B37" s="0" t="str">
        <f aca="false">IF(B36&lt;$B$6,"Yes.","No.")</f>
        <v>Yes.</v>
      </c>
    </row>
    <row r="39" customFormat="false" ht="12.8" hidden="false" customHeight="false" outlineLevel="0" collapsed="false">
      <c r="A39" s="0" t="str">
        <f aca="false">IF(B37="No.", "There is not sufficient evidence at the "&amp;(1-$B$6)*100&amp;"% level of significance to reject the null hypothesis.","There is sufficient evidence at the "&amp;(1-$B$6)*100&amp;"% level of significance to reject the null hypothesis.")</f>
        <v>There is sufficient evidence at the 95%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2021-06-06T17:05:31Z</dcterms:created>
  <dc:creator/>
  <dc:description/>
  <dc:language>en-US</dc:language>
  <cp:lastModifiedBy/>
  <dcterms:modified xsi:type="dcterms:W3CDTF">2021-06-06T17:08:26Z</dcterms:modified>
  <cp:revision>2</cp:revision>
  <dc:subject/>
  <dc:title/>
</cp:coreProperties>
</file>