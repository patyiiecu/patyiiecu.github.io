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<sst xmlns="http://schemas.openxmlformats.org/spreadsheetml/2006/main" count="13" uniqueCount="13">
  <si>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x</t>
  </si>
  <si>
    <t xml:space="preserve">slope</t>
  </si>
  <si>
    <t xml:space="preserve">y</t>
  </si>
  <si>
    <t xml:space="preserve">intercept</t>
  </si>
  <si>
    <t xml:space="preserve">y hat</t>
  </si>
  <si>
    <t xml:space="preserve">x bar</t>
  </si>
  <si>
    <t xml:space="preserve">y bar</t>
  </si>
  <si>
    <t xml:space="preserve">(x-(x bar)) dot (y-(y bar))</t>
  </si>
  <si>
    <t xml:space="preserve">(x-(x bar))^2</t>
  </si>
  <si>
    <t xml:space="preserve">quotient=a=</t>
  </si>
  <si>
    <t xml:space="preserve">b=(y bar)-a*(x bar)</t>
  </si>
  <si>
    <t xml:space="preserve">x-(x bar)</t>
  </si>
  <si>
    <t xml:space="preserve">y-(y bar)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</si>
</sst>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Linear regression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Sheet1!$B$1:$F$1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Sheet1!$B$2:$F$2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12</c:v>
                </c:pt>
                <c:pt idx="4">
                  <c:v>14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y hat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Sheet1!$B$1:$F$1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</c:numCache>
            </c:numRef>
          </c:xVal>
          <c:yVal>
            <c:numRef>
              <c:f>Sheet1!$B$3:$F$3</c:f>
              <c:numCache>
                <c:formatCode>General</c:formatCode>
                <c:ptCount val="5"/>
                <c:pt idx="0">
                  <c:v>3.74418604651163</c:v>
                </c:pt>
                <c:pt idx="1">
                  <c:v>5.76744186046512</c:v>
                </c:pt>
                <c:pt idx="2">
                  <c:v>7.7906976744186</c:v>
                </c:pt>
                <c:pt idx="3">
                  <c:v>11.8372093023256</c:v>
                </c:pt>
                <c:pt idx="4">
                  <c:v>13.8604651162791</c:v>
                </c:pt>
              </c:numCache>
            </c:numRef>
          </c:yVal>
          <c:smooth val="0"/>
        </c:ser>
        <c:axId val="70334092"/>
        <c:axId val="6087982"/>
      </c:scatterChart>
      <c:valAx>
        <c:axId val="70334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6087982"/>
        <c:crosses val="autoZero"/>
        <c:crossBetween val="midCat"/>
      </c:valAx>
      <c:valAx>
        <c:axId val="6087982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033409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19080</xdr:rowOff>
    </xdr:from>
    <xdr:to>
      <xdr:col>7</xdr:col>
      <xdr:colOff>70200</xdr:colOff>
      <xdr:row>24</xdr:row>
      <xdr:rowOff>7560</xdr:rowOff>
    </xdr:to>
    <xdr:graphicFrame>
      <xdr:nvGraphicFramePr>
        <xdr:cNvPr id="0" name=""/>
        <xdr:cNvGraphicFramePr/>
      </xdr:nvGraphicFramePr>
      <xdr:xfrm>
        <a:off x="0" y="669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5" activeCellId="0" sqref="I1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n">
        <v>3</v>
      </c>
      <c r="C1" s="0" t="n">
        <v>4</v>
      </c>
      <c r="D1" s="0" t="n">
        <v>5</v>
      </c>
      <c r="E1" s="0" t="n">
        <v>7</v>
      </c>
      <c r="F1" s="0" t="n">
        <v>8</v>
      </c>
      <c r="H1" s="0" t="s">
        <v>1</v>
      </c>
      <c r="I1" s="0" t="n">
        <f aca="false">SLOPE(B2:F2,B1:F1)</f>
        <v>2.02325581395349</v>
      </c>
    </row>
    <row r="2" customFormat="false" ht="12.8" hidden="false" customHeight="false" outlineLevel="0" collapsed="false">
      <c r="A2" s="0" t="s">
        <v>2</v>
      </c>
      <c r="B2" s="0" t="n">
        <v>4</v>
      </c>
      <c r="C2" s="0" t="n">
        <v>6</v>
      </c>
      <c r="D2" s="0" t="n">
        <v>7</v>
      </c>
      <c r="E2" s="0" t="n">
        <v>12</v>
      </c>
      <c r="F2" s="0" t="n">
        <v>14</v>
      </c>
      <c r="H2" s="0" t="s">
        <v>3</v>
      </c>
      <c r="I2" s="0" t="n">
        <f aca="false">INTERCEPT(B2:F2,B1:F1)</f>
        <v>-2.32558139534884</v>
      </c>
    </row>
    <row r="3" customFormat="false" ht="12.8" hidden="false" customHeight="false" outlineLevel="0" collapsed="false">
      <c r="A3" s="0" t="s">
        <v>4</v>
      </c>
      <c r="B3" s="0" t="n">
        <f aca="false">$I$1*B1+$I$2</f>
        <v>3.74418604651163</v>
      </c>
      <c r="C3" s="0" t="n">
        <f aca="false">$I$1*C1+$I$2</f>
        <v>5.76744186046512</v>
      </c>
      <c r="D3" s="0" t="n">
        <f aca="false">$I$1*D1+$I$2</f>
        <v>7.7906976744186</v>
      </c>
      <c r="E3" s="0" t="n">
        <f aca="false">$I$1*E1+$I$2</f>
        <v>11.8372093023256</v>
      </c>
      <c r="F3" s="0" t="n">
        <f aca="false">$I$1*F1+$I$2</f>
        <v>13.8604651162791</v>
      </c>
    </row>
    <row r="4" customFormat="false" ht="12.8" hidden="false" customHeight="false" outlineLevel="0" collapsed="false">
      <c r="I4" s="0" t="s">
        <v>5</v>
      </c>
      <c r="J4" s="0" t="n">
        <f aca="false">AVERAGE(B1:F1)</f>
        <v>5.4</v>
      </c>
    </row>
    <row r="5" customFormat="false" ht="12.8" hidden="false" customHeight="false" outlineLevel="0" collapsed="false">
      <c r="I5" s="0" t="s">
        <v>6</v>
      </c>
      <c r="J5" s="0" t="n">
        <f aca="false">AVERAGE(B2:F2)</f>
        <v>8.6</v>
      </c>
    </row>
    <row r="7" customFormat="false" ht="12.8" hidden="false" customHeight="false" outlineLevel="0" collapsed="false">
      <c r="I7" s="0" t="s">
        <v>7</v>
      </c>
      <c r="K7" s="0" t="n">
        <f aca="false">SUMPRODUCT(B27:F27,B28:F28)</f>
        <v>34.8</v>
      </c>
    </row>
    <row r="8" customFormat="false" ht="12.8" hidden="false" customHeight="false" outlineLevel="0" collapsed="false">
      <c r="I8" s="0" t="s">
        <v>8</v>
      </c>
      <c r="K8" s="0" t="n">
        <f aca="false">SUMPRODUCT(B27:F27,B27:F27)</f>
        <v>17.2</v>
      </c>
    </row>
    <row r="9" customFormat="false" ht="12.8" hidden="false" customHeight="false" outlineLevel="0" collapsed="false">
      <c r="I9" s="0" t="s">
        <v>9</v>
      </c>
      <c r="K9" s="0" t="n">
        <f aca="false">K7/K8</f>
        <v>2.02325581395349</v>
      </c>
    </row>
    <row r="11" customFormat="false" ht="12.8" hidden="false" customHeight="false" outlineLevel="0" collapsed="false">
      <c r="I11" s="0" t="s">
        <v>10</v>
      </c>
      <c r="K11" s="0" t="n">
        <f aca="false">J5-K9*J4</f>
        <v>-2.32558139534884</v>
      </c>
    </row>
    <row r="27" customFormat="false" ht="12.8" hidden="false" customHeight="false" outlineLevel="0" collapsed="false">
      <c r="A27" s="0" t="s">
        <v>11</v>
      </c>
      <c r="B27" s="0" t="n">
        <f aca="false">B1-$J4</f>
        <v>-2.4</v>
      </c>
      <c r="C27" s="0" t="n">
        <f aca="false">C1-$J4</f>
        <v>-1.4</v>
      </c>
      <c r="D27" s="0" t="n">
        <f aca="false">D1-$J4</f>
        <v>-0.4</v>
      </c>
      <c r="E27" s="0" t="n">
        <f aca="false">E1-$J4</f>
        <v>1.6</v>
      </c>
      <c r="F27" s="0" t="n">
        <f aca="false">F1-$J4</f>
        <v>2.6</v>
      </c>
    </row>
    <row r="28" customFormat="false" ht="12.8" hidden="false" customHeight="false" outlineLevel="0" collapsed="false">
      <c r="A28" s="0" t="s">
        <v>12</v>
      </c>
      <c r="B28" s="0" t="n">
        <f aca="false">B2-$J5</f>
        <v>-4.6</v>
      </c>
      <c r="C28" s="0" t="n">
        <f aca="false">C2-$J5</f>
        <v>-2.6</v>
      </c>
      <c r="D28" s="0" t="n">
        <f aca="false">D2-$J5</f>
        <v>-1.6</v>
      </c>
      <c r="E28" s="0" t="n">
        <f aca="false">E2-$J5</f>
        <v>3.4</v>
      </c>
      <c r="F28" s="0" t="n">
        <f aca="false">F2-$J5</f>
        <v>5.4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2021-05-20T18:12:22Z</dcterms:created>
  <dc:creator/>
  <dc:description/>
  <dc:language>en-US</dc:language>
  <cp:lastModifiedBy/>
  <dcterms:modified xsi:type="dcterms:W3CDTF">2021-05-20T18:28:09Z</dcterms:modified>
  <cp:revision>2</cp:revision>
  <dc:subject/>
  <dc:title/>
</cp:coreProperties>
</file>