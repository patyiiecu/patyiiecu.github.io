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<sst xmlns="http://schemas.openxmlformats.org/spreadsheetml/2006/main" count="26" uniqueCount="24">
  <si>
    <t xml:space="preserve">Width</t>
  </si>
  <si>
    <t xml:space="preserve">Length</t>
  </si>
  <si>
    <t xml:space="preserve">min</t>
  </si>
  <si>
    <t xml:space="preserve">max</t>
  </si>
  <si>
    <t xml:space="preserve">total</t>
  </si>
  <si>
    <t xml:space="preserve">lower fence</t>
  </si>
  <si>
    <t xml:space="preserve">&lt;min</t>
  </si>
  <si>
    <t xml:space="preserve">first quartile</t>
  </si>
  <si>
    <t xml:space="preserve">median</t>
  </si>
  <si>
    <t xml:space="preserve">third quartile</t>
  </si>
  <si>
    <t xml:space="preserve">upper fence</t>
  </si>
  <si>
    <t xml:space="preserve">&lt;max</t>
  </si>
  <si>
    <t xml:space="preserve">There are outliers to the right.</t>
  </si>
  <si>
    <t xml:space="preserve">IQR</t>
  </si>
  <si>
    <t xml:space="preserve">mean</t>
  </si>
  <si>
    <t xml:space="preserve">st dev</t>
  </si>
  <si>
    <t xml:space="preserve">count</t>
  </si>
  <si>
    <t xml:space="preserve">alpha</t>
  </si>
  <si>
    <t xml:space="preserve">degrees of freedom</t>
  </si>
  <si>
    <t xml:space="preserve">t_crit</t>
  </si>
  <si>
    <t xml:space="preserve">(st err)=(st dev)/sqrt(count)</t>
  </si>
  <si>
    <t xml:space="preserve">E=(margin of error)=t_crit*(st err)</t>
  </si>
  <si>
    <t xml:space="preserve">(CI low)=x_bar-E</t>
  </si>
  <si>
    <t xml:space="preserve">(CI high)=x_bar+E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</si>
</sst>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Length of tornadoes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Sheet1!$C$4:$C$12</c:f>
              <c:strCach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0</c:v>
                </c:pt>
                <c:pt idx="1">
                  <c:v>0.635294117647059</c:v>
                </c:pt>
                <c:pt idx="2">
                  <c:v>0.188235294117647</c:v>
                </c:pt>
                <c:pt idx="3">
                  <c:v>0.105882352941176</c:v>
                </c:pt>
                <c:pt idx="4">
                  <c:v>0.0235294117647059</c:v>
                </c:pt>
                <c:pt idx="5">
                  <c:v>0.0235294117647059</c:v>
                </c:pt>
                <c:pt idx="6">
                  <c:v>0</c:v>
                </c:pt>
                <c:pt idx="7">
                  <c:v>0.0117647058823529</c:v>
                </c:pt>
                <c:pt idx="8">
                  <c:v>0.0117647058823529</c:v>
                </c:pt>
              </c:numCache>
            </c:numRef>
          </c:val>
        </c:ser>
        <c:gapWidth val="100"/>
        <c:overlap val="0"/>
        <c:axId val="66428152"/>
        <c:axId val="19016533"/>
      </c:barChart>
      <c:catAx>
        <c:axId val="66428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length (in miles)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9016533"/>
        <c:crosses val="autoZero"/>
        <c:auto val="1"/>
        <c:lblAlgn val="ctr"/>
        <c:lblOffset val="100"/>
      </c:catAx>
      <c:valAx>
        <c:axId val="1901653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relative 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642815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285480</xdr:colOff>
      <xdr:row>0</xdr:row>
      <xdr:rowOff>0</xdr:rowOff>
    </xdr:from>
    <xdr:to>
      <xdr:col>12</xdr:col>
      <xdr:colOff>47520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497736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9" activeCellId="0" sqref="P39"/>
    </sheetView>
  </sheetViews>
  <sheetFormatPr defaultRowHeight="12.8"/>
  <cols>
    <col collapsed="false" hidden="false" max="1" min="1" style="0" width="6.19897959183674"/>
    <col collapsed="false" hidden="false" max="2" min="2" style="0" width="6.9030612244898"/>
    <col collapsed="false" hidden="false" max="3" min="3" style="0" width="27.9438775510204"/>
    <col collapsed="false" hidden="false" max="5" min="4" style="0" width="12.7244897959184"/>
    <col collapsed="false" hidden="false" max="6" min="6" style="0" width="24.9897959183673"/>
    <col collapsed="false" hidden="false" max="7" min="7" style="0" width="2.41326530612245"/>
    <col collapsed="false" hidden="false" max="1025" min="8" style="0" width="11.5204081632653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n">
        <f aca="false">MIN(B2:B86)</f>
        <v>0.1</v>
      </c>
    </row>
    <row r="2" customFormat="false" ht="12.8" hidden="false" customHeight="false" outlineLevel="0" collapsed="false">
      <c r="A2" s="0" t="n">
        <v>40</v>
      </c>
      <c r="B2" s="1" t="n">
        <v>1.1</v>
      </c>
      <c r="C2" s="0" t="s">
        <v>3</v>
      </c>
      <c r="D2" s="0" t="n">
        <f aca="false">MAX(B2:B86)</f>
        <v>23</v>
      </c>
    </row>
    <row r="3" customFormat="false" ht="12.8" hidden="false" customHeight="false" outlineLevel="0" collapsed="false">
      <c r="A3" s="0" t="n">
        <v>700</v>
      </c>
      <c r="B3" s="1" t="n">
        <v>9</v>
      </c>
    </row>
    <row r="4" customFormat="false" ht="12.8" hidden="false" customHeight="false" outlineLevel="0" collapsed="false">
      <c r="A4" s="0" t="n">
        <v>400</v>
      </c>
      <c r="B4" s="1" t="n">
        <v>2.4</v>
      </c>
      <c r="C4" s="0" t="n">
        <v>0</v>
      </c>
      <c r="D4" s="0" t="n">
        <f aca="false" t="array" ref="D4:D12">FREQUENCY(B2:B86,C4:C12)</f>
        <v>0</v>
      </c>
      <c r="E4" s="0" t="n">
        <f aca="false">D4/$D$13</f>
        <v>0</v>
      </c>
    </row>
    <row r="5" customFormat="false" ht="12.8" hidden="false" customHeight="false" outlineLevel="0" collapsed="false">
      <c r="A5" s="0" t="n">
        <v>200</v>
      </c>
      <c r="B5" s="1" t="n">
        <v>1.1</v>
      </c>
      <c r="C5" s="0" t="n">
        <f aca="false">C4+3</f>
        <v>3</v>
      </c>
      <c r="D5" s="0" t="n">
        <v>54</v>
      </c>
      <c r="E5" s="0" t="n">
        <f aca="false">D5/$D$13</f>
        <v>0.635294117647059</v>
      </c>
    </row>
    <row r="6" customFormat="false" ht="12.8" hidden="false" customHeight="false" outlineLevel="0" collapsed="false">
      <c r="A6" s="0" t="n">
        <v>175</v>
      </c>
      <c r="B6" s="1" t="n">
        <v>0.5</v>
      </c>
      <c r="C6" s="0" t="n">
        <f aca="false">C5+3</f>
        <v>6</v>
      </c>
      <c r="D6" s="0" t="n">
        <v>16</v>
      </c>
      <c r="E6" s="0" t="n">
        <f aca="false">D6/$D$13</f>
        <v>0.188235294117647</v>
      </c>
    </row>
    <row r="7" customFormat="false" ht="12.8" hidden="false" customHeight="false" outlineLevel="0" collapsed="false">
      <c r="A7" s="0" t="n">
        <v>100</v>
      </c>
      <c r="B7" s="1" t="n">
        <v>3.41</v>
      </c>
      <c r="C7" s="0" t="n">
        <f aca="false">C6+3</f>
        <v>9</v>
      </c>
      <c r="D7" s="0" t="n">
        <v>9</v>
      </c>
      <c r="E7" s="0" t="n">
        <f aca="false">D7/$D$13</f>
        <v>0.105882352941176</v>
      </c>
    </row>
    <row r="8" customFormat="false" ht="12.8" hidden="false" customHeight="false" outlineLevel="0" collapsed="false">
      <c r="A8" s="0" t="n">
        <v>200</v>
      </c>
      <c r="B8" s="1" t="n">
        <v>5.21</v>
      </c>
      <c r="C8" s="0" t="n">
        <f aca="false">C7+3</f>
        <v>12</v>
      </c>
      <c r="D8" s="0" t="n">
        <v>2</v>
      </c>
      <c r="E8" s="0" t="n">
        <f aca="false">D8/$D$13</f>
        <v>0.0235294117647059</v>
      </c>
    </row>
    <row r="9" customFormat="false" ht="12.8" hidden="false" customHeight="false" outlineLevel="0" collapsed="false">
      <c r="A9" s="0" t="n">
        <v>50</v>
      </c>
      <c r="B9" s="1" t="n">
        <v>0.5</v>
      </c>
      <c r="C9" s="0" t="n">
        <f aca="false">C8+3</f>
        <v>15</v>
      </c>
      <c r="D9" s="0" t="n">
        <v>2</v>
      </c>
      <c r="E9" s="0" t="n">
        <f aca="false">D9/$D$13</f>
        <v>0.0235294117647059</v>
      </c>
    </row>
    <row r="10" customFormat="false" ht="12.8" hidden="false" customHeight="false" outlineLevel="0" collapsed="false">
      <c r="A10" s="0" t="n">
        <v>250</v>
      </c>
      <c r="B10" s="1" t="n">
        <v>1.3</v>
      </c>
      <c r="C10" s="0" t="n">
        <f aca="false">C9+3</f>
        <v>18</v>
      </c>
      <c r="D10" s="0" t="n">
        <v>0</v>
      </c>
      <c r="E10" s="0" t="n">
        <f aca="false">D10/$D$13</f>
        <v>0</v>
      </c>
    </row>
    <row r="11" customFormat="false" ht="12.8" hidden="false" customHeight="false" outlineLevel="0" collapsed="false">
      <c r="A11" s="0" t="n">
        <v>400</v>
      </c>
      <c r="B11" s="1" t="n">
        <v>2.1</v>
      </c>
      <c r="C11" s="0" t="n">
        <f aca="false">C10+3</f>
        <v>21</v>
      </c>
      <c r="D11" s="0" t="n">
        <v>1</v>
      </c>
      <c r="E11" s="0" t="n">
        <f aca="false">D11/$D$13</f>
        <v>0.0117647058823529</v>
      </c>
    </row>
    <row r="12" customFormat="false" ht="12.8" hidden="false" customHeight="false" outlineLevel="0" collapsed="false">
      <c r="A12" s="0" t="n">
        <v>125</v>
      </c>
      <c r="B12" s="1" t="n">
        <v>0.9</v>
      </c>
      <c r="C12" s="0" t="n">
        <f aca="false">C11+3</f>
        <v>24</v>
      </c>
      <c r="D12" s="0" t="n">
        <v>1</v>
      </c>
      <c r="E12" s="0" t="n">
        <f aca="false">D12/$D$13</f>
        <v>0.0117647058823529</v>
      </c>
    </row>
    <row r="13" customFormat="false" ht="12.8" hidden="false" customHeight="false" outlineLevel="0" collapsed="false">
      <c r="A13" s="0" t="n">
        <v>140</v>
      </c>
      <c r="B13" s="1" t="n">
        <v>1.8</v>
      </c>
      <c r="C13" s="0" t="s">
        <v>4</v>
      </c>
      <c r="D13" s="0" t="n">
        <f aca="false">SUM(D4:D12)</f>
        <v>85</v>
      </c>
    </row>
    <row r="14" customFormat="false" ht="12.8" hidden="false" customHeight="false" outlineLevel="0" collapsed="false">
      <c r="A14" s="0" t="n">
        <v>180</v>
      </c>
      <c r="B14" s="1" t="n">
        <v>1.9</v>
      </c>
    </row>
    <row r="15" customFormat="false" ht="12.8" hidden="false" customHeight="false" outlineLevel="0" collapsed="false">
      <c r="A15" s="0" t="n">
        <v>100</v>
      </c>
      <c r="B15" s="1" t="n">
        <v>6.5</v>
      </c>
    </row>
    <row r="16" customFormat="false" ht="12.8" hidden="false" customHeight="false" outlineLevel="0" collapsed="false">
      <c r="A16" s="0" t="n">
        <v>350</v>
      </c>
      <c r="B16" s="1" t="n">
        <v>3.5</v>
      </c>
      <c r="C16" s="0" t="s">
        <v>5</v>
      </c>
      <c r="D16" s="0" t="n">
        <f aca="false">D18-1.5*D23</f>
        <v>-6.4075</v>
      </c>
      <c r="E16" s="0" t="s">
        <v>6</v>
      </c>
    </row>
    <row r="17" customFormat="false" ht="12.8" hidden="false" customHeight="false" outlineLevel="0" collapsed="false">
      <c r="A17" s="0" t="n">
        <v>800</v>
      </c>
      <c r="B17" s="1" t="n">
        <v>8</v>
      </c>
      <c r="C17" s="0" t="s">
        <v>2</v>
      </c>
      <c r="D17" s="0" t="n">
        <f aca="false">D1</f>
        <v>0.1</v>
      </c>
    </row>
    <row r="18" customFormat="false" ht="12.8" hidden="false" customHeight="false" outlineLevel="0" collapsed="false">
      <c r="A18" s="0" t="n">
        <v>50</v>
      </c>
      <c r="B18" s="1" t="n">
        <v>0.16</v>
      </c>
      <c r="C18" s="0" t="s">
        <v>7</v>
      </c>
      <c r="D18" s="0" t="n">
        <f aca="false">_xlfn.QUARTILE.EXC(B2:B86,1)</f>
        <v>0.5</v>
      </c>
    </row>
    <row r="19" customFormat="false" ht="12.8" hidden="false" customHeight="false" outlineLevel="0" collapsed="false">
      <c r="A19" s="0" t="n">
        <v>50</v>
      </c>
      <c r="B19" s="1" t="n">
        <v>0.1</v>
      </c>
      <c r="C19" s="0" t="s">
        <v>8</v>
      </c>
      <c r="D19" s="0" t="n">
        <f aca="false">MEDIAN(B2:B86)</f>
        <v>1.64</v>
      </c>
    </row>
    <row r="20" customFormat="false" ht="12.8" hidden="false" customHeight="false" outlineLevel="0" collapsed="false">
      <c r="A20" s="0" t="n">
        <v>10</v>
      </c>
      <c r="B20" s="1" t="n">
        <v>0.1</v>
      </c>
      <c r="C20" s="0" t="s">
        <v>9</v>
      </c>
      <c r="D20" s="0" t="n">
        <f aca="false">_xlfn.QUARTILE.EXC(B2:B86,3)</f>
        <v>5.105</v>
      </c>
    </row>
    <row r="21" customFormat="false" ht="12.8" hidden="false" customHeight="false" outlineLevel="0" collapsed="false">
      <c r="A21" s="0" t="n">
        <v>20</v>
      </c>
      <c r="B21" s="1" t="n">
        <v>0.1</v>
      </c>
      <c r="C21" s="0" t="s">
        <v>3</v>
      </c>
      <c r="D21" s="0" t="n">
        <f aca="false">D2</f>
        <v>23</v>
      </c>
    </row>
    <row r="22" customFormat="false" ht="12.8" hidden="false" customHeight="false" outlineLevel="0" collapsed="false">
      <c r="A22" s="0" t="n">
        <v>50</v>
      </c>
      <c r="B22" s="1" t="n">
        <v>0.5</v>
      </c>
      <c r="C22" s="0" t="s">
        <v>10</v>
      </c>
      <c r="D22" s="0" t="n">
        <f aca="false">D20+1.5*D23</f>
        <v>12.0125</v>
      </c>
      <c r="E22" s="0" t="s">
        <v>11</v>
      </c>
      <c r="F22" s="0" t="s">
        <v>12</v>
      </c>
      <c r="G22" s="0" t="n">
        <f aca="false">COUNTIF(B2:B86,"&gt;"&amp;D22)</f>
        <v>4</v>
      </c>
    </row>
    <row r="23" customFormat="false" ht="12.8" hidden="false" customHeight="false" outlineLevel="0" collapsed="false">
      <c r="A23" s="0" t="n">
        <v>900</v>
      </c>
      <c r="B23" s="1" t="n">
        <v>4.5</v>
      </c>
      <c r="C23" s="0" t="s">
        <v>13</v>
      </c>
      <c r="D23" s="0" t="n">
        <f aca="false">D20-D18</f>
        <v>4.605</v>
      </c>
    </row>
    <row r="24" customFormat="false" ht="12.8" hidden="false" customHeight="false" outlineLevel="0" collapsed="false">
      <c r="A24" s="0" t="n">
        <v>200</v>
      </c>
      <c r="B24" s="1" t="n">
        <v>0.54</v>
      </c>
    </row>
    <row r="25" customFormat="false" ht="12.8" hidden="false" customHeight="false" outlineLevel="0" collapsed="false">
      <c r="A25" s="0" t="n">
        <v>1200</v>
      </c>
      <c r="B25" s="1" t="n">
        <v>20.84</v>
      </c>
      <c r="C25" s="0" t="s">
        <v>14</v>
      </c>
      <c r="D25" s="0" t="n">
        <f aca="false">AVERAGE(B2:B86)</f>
        <v>3.34</v>
      </c>
    </row>
    <row r="26" customFormat="false" ht="12.8" hidden="false" customHeight="false" outlineLevel="0" collapsed="false">
      <c r="A26" s="0" t="n">
        <v>1500</v>
      </c>
      <c r="B26" s="1" t="n">
        <v>23</v>
      </c>
      <c r="C26" s="0" t="s">
        <v>15</v>
      </c>
      <c r="D26" s="0" t="n">
        <f aca="false">STDEV(B2:B86)</f>
        <v>4.35851820603986</v>
      </c>
    </row>
    <row r="27" customFormat="false" ht="12.8" hidden="false" customHeight="false" outlineLevel="0" collapsed="false">
      <c r="A27" s="0" t="n">
        <v>30</v>
      </c>
      <c r="B27" s="1" t="n">
        <v>2</v>
      </c>
      <c r="C27" s="0" t="s">
        <v>16</v>
      </c>
      <c r="D27" s="0" t="n">
        <f aca="false">COUNT(B2:B86)</f>
        <v>85</v>
      </c>
    </row>
    <row r="28" customFormat="false" ht="12.8" hidden="false" customHeight="false" outlineLevel="0" collapsed="false">
      <c r="A28" s="0" t="n">
        <v>50</v>
      </c>
      <c r="B28" s="1" t="n">
        <v>0.2</v>
      </c>
      <c r="C28" s="0" t="s">
        <v>17</v>
      </c>
      <c r="D28" s="0" t="n">
        <v>0.05</v>
      </c>
    </row>
    <row r="29" customFormat="false" ht="12.8" hidden="false" customHeight="false" outlineLevel="0" collapsed="false">
      <c r="A29" s="0" t="n">
        <v>450</v>
      </c>
      <c r="B29" s="1" t="n">
        <v>7.25</v>
      </c>
      <c r="C29" s="0" t="s">
        <v>18</v>
      </c>
      <c r="D29" s="0" t="n">
        <f aca="false">D27-1</f>
        <v>84</v>
      </c>
    </row>
    <row r="30" customFormat="false" ht="12.8" hidden="false" customHeight="false" outlineLevel="0" collapsed="false">
      <c r="A30" s="0" t="n">
        <v>700</v>
      </c>
      <c r="B30" s="1" t="n">
        <v>14.42</v>
      </c>
      <c r="C30" s="0" t="s">
        <v>19</v>
      </c>
      <c r="D30" s="0" t="n">
        <f aca="false">-_xlfn.T.INV(D28/2,D29)</f>
        <v>1.98860966697571</v>
      </c>
    </row>
    <row r="31" customFormat="false" ht="12.8" hidden="false" customHeight="false" outlineLevel="0" collapsed="false">
      <c r="A31" s="0" t="n">
        <v>1900</v>
      </c>
      <c r="B31" s="1" t="n">
        <v>13.85</v>
      </c>
      <c r="C31" s="0" t="s">
        <v>20</v>
      </c>
      <c r="D31" s="0" t="n">
        <f aca="false">D26/SQRT(D27)</f>
        <v>0.472747674923588</v>
      </c>
    </row>
    <row r="32" customFormat="false" ht="12.8" hidden="false" customHeight="false" outlineLevel="0" collapsed="false">
      <c r="A32" s="0" t="n">
        <v>30</v>
      </c>
      <c r="B32" s="1" t="n">
        <v>1</v>
      </c>
      <c r="C32" s="0" t="s">
        <v>21</v>
      </c>
      <c r="D32" s="0" t="n">
        <f aca="false">D30*D31</f>
        <v>0.940110596393335</v>
      </c>
    </row>
    <row r="33" customFormat="false" ht="12.8" hidden="false" customHeight="false" outlineLevel="0" collapsed="false">
      <c r="A33" s="0" t="n">
        <v>200</v>
      </c>
      <c r="B33" s="1" t="n">
        <v>4</v>
      </c>
      <c r="C33" s="0" t="s">
        <v>22</v>
      </c>
      <c r="D33" s="0" t="n">
        <f aca="false">D25-D32</f>
        <v>2.39988940360667</v>
      </c>
      <c r="E33" s="0" t="n">
        <f aca="false">ROUND(D33,2)</f>
        <v>2.4</v>
      </c>
    </row>
    <row r="34" customFormat="false" ht="12.8" hidden="false" customHeight="false" outlineLevel="0" collapsed="false">
      <c r="A34" s="0" t="n">
        <v>500</v>
      </c>
      <c r="B34" s="1" t="n">
        <v>6.5</v>
      </c>
      <c r="C34" s="0" t="s">
        <v>23</v>
      </c>
      <c r="D34" s="0" t="n">
        <f aca="false">D25+D32</f>
        <v>4.28011059639334</v>
      </c>
      <c r="E34" s="0" t="n">
        <f aca="false">ROUND(D34,2)</f>
        <v>4.28</v>
      </c>
    </row>
    <row r="35" customFormat="false" ht="12.8" hidden="false" customHeight="false" outlineLevel="0" collapsed="false">
      <c r="A35" s="0" t="n">
        <v>400</v>
      </c>
      <c r="B35" s="1" t="n">
        <v>4.5</v>
      </c>
    </row>
    <row r="36" customFormat="false" ht="12.8" hidden="false" customHeight="false" outlineLevel="0" collapsed="false">
      <c r="A36" s="0" t="n">
        <v>500</v>
      </c>
      <c r="B36" s="1" t="n">
        <v>6</v>
      </c>
    </row>
    <row r="37" customFormat="false" ht="12.8" hidden="false" customHeight="false" outlineLevel="0" collapsed="false">
      <c r="A37" s="0" t="n">
        <v>100</v>
      </c>
      <c r="B37" s="1" t="n">
        <v>1.21</v>
      </c>
    </row>
    <row r="38" customFormat="false" ht="12.8" hidden="false" customHeight="false" outlineLevel="0" collapsed="false">
      <c r="A38" s="0" t="n">
        <v>800</v>
      </c>
      <c r="B38" s="1" t="n">
        <v>10</v>
      </c>
    </row>
    <row r="39" customFormat="false" ht="12.8" hidden="false" customHeight="false" outlineLevel="0" collapsed="false">
      <c r="A39" s="0" t="n">
        <v>150</v>
      </c>
      <c r="B39" s="1" t="n">
        <v>2</v>
      </c>
    </row>
    <row r="40" customFormat="false" ht="12.8" hidden="false" customHeight="false" outlineLevel="0" collapsed="false">
      <c r="A40" s="0" t="n">
        <v>600</v>
      </c>
      <c r="B40" s="1" t="n">
        <v>9.31</v>
      </c>
    </row>
    <row r="41" customFormat="false" ht="12.8" hidden="false" customHeight="false" outlineLevel="0" collapsed="false">
      <c r="A41" s="0" t="n">
        <v>600</v>
      </c>
      <c r="B41" s="1" t="n">
        <v>8.5</v>
      </c>
    </row>
    <row r="42" customFormat="false" ht="12.8" hidden="false" customHeight="false" outlineLevel="0" collapsed="false">
      <c r="A42" s="0" t="n">
        <v>300</v>
      </c>
      <c r="B42" s="1" t="n">
        <v>2.5</v>
      </c>
    </row>
    <row r="43" customFormat="false" ht="12.8" hidden="false" customHeight="false" outlineLevel="0" collapsed="false">
      <c r="A43" s="0" t="n">
        <v>500</v>
      </c>
      <c r="B43" s="1" t="n">
        <v>5.8</v>
      </c>
    </row>
    <row r="44" customFormat="false" ht="12.8" hidden="false" customHeight="false" outlineLevel="0" collapsed="false">
      <c r="A44" s="0" t="n">
        <v>500</v>
      </c>
      <c r="B44" s="1" t="n">
        <v>8</v>
      </c>
    </row>
    <row r="45" customFormat="false" ht="12.8" hidden="false" customHeight="false" outlineLevel="0" collapsed="false">
      <c r="A45" s="0" t="n">
        <v>250</v>
      </c>
      <c r="B45" s="1" t="n">
        <v>5.9</v>
      </c>
    </row>
    <row r="46" customFormat="false" ht="12.8" hidden="false" customHeight="false" outlineLevel="0" collapsed="false">
      <c r="A46" s="0" t="n">
        <v>260</v>
      </c>
      <c r="B46" s="1" t="n">
        <v>0.7</v>
      </c>
    </row>
    <row r="47" customFormat="false" ht="12.8" hidden="false" customHeight="false" outlineLevel="0" collapsed="false">
      <c r="A47" s="0" t="n">
        <v>500</v>
      </c>
      <c r="B47" s="1" t="n">
        <v>8.5</v>
      </c>
    </row>
    <row r="48" customFormat="false" ht="12.8" hidden="false" customHeight="false" outlineLevel="0" collapsed="false">
      <c r="A48" s="0" t="n">
        <v>25</v>
      </c>
      <c r="B48" s="1" t="n">
        <v>0.82</v>
      </c>
    </row>
    <row r="49" customFormat="false" ht="12.8" hidden="false" customHeight="false" outlineLevel="0" collapsed="false">
      <c r="A49" s="0" t="n">
        <v>25</v>
      </c>
      <c r="B49" s="1" t="n">
        <v>1.77</v>
      </c>
    </row>
    <row r="50" customFormat="false" ht="12.8" hidden="false" customHeight="false" outlineLevel="0" collapsed="false">
      <c r="A50" s="0" t="n">
        <v>20</v>
      </c>
      <c r="B50" s="1" t="n">
        <v>0.2</v>
      </c>
    </row>
    <row r="51" customFormat="false" ht="12.8" hidden="false" customHeight="false" outlineLevel="0" collapsed="false">
      <c r="A51" s="0" t="n">
        <v>10</v>
      </c>
      <c r="B51" s="1" t="n">
        <v>0.1</v>
      </c>
    </row>
    <row r="52" customFormat="false" ht="12.8" hidden="false" customHeight="false" outlineLevel="0" collapsed="false">
      <c r="A52" s="0" t="n">
        <v>150</v>
      </c>
      <c r="B52" s="1" t="n">
        <v>0.75</v>
      </c>
    </row>
    <row r="53" customFormat="false" ht="12.8" hidden="false" customHeight="false" outlineLevel="0" collapsed="false">
      <c r="A53" s="0" t="n">
        <v>100</v>
      </c>
      <c r="B53" s="1" t="n">
        <v>0.26</v>
      </c>
    </row>
    <row r="54" customFormat="false" ht="12.8" hidden="false" customHeight="false" outlineLevel="0" collapsed="false">
      <c r="A54" s="0" t="n">
        <v>100</v>
      </c>
      <c r="B54" s="1" t="n">
        <v>0.71</v>
      </c>
    </row>
    <row r="55" customFormat="false" ht="12.8" hidden="false" customHeight="false" outlineLevel="0" collapsed="false">
      <c r="A55" s="0" t="n">
        <v>200</v>
      </c>
      <c r="B55" s="1" t="n">
        <v>1.64</v>
      </c>
    </row>
    <row r="56" customFormat="false" ht="12.8" hidden="false" customHeight="false" outlineLevel="0" collapsed="false">
      <c r="A56" s="0" t="n">
        <v>330</v>
      </c>
      <c r="B56" s="1" t="n">
        <v>3.4</v>
      </c>
    </row>
    <row r="57" customFormat="false" ht="12.8" hidden="false" customHeight="false" outlineLevel="0" collapsed="false">
      <c r="A57" s="0" t="n">
        <v>800</v>
      </c>
      <c r="B57" s="1" t="n">
        <v>8.6</v>
      </c>
    </row>
    <row r="58" customFormat="false" ht="12.8" hidden="false" customHeight="false" outlineLevel="0" collapsed="false">
      <c r="A58" s="0" t="n">
        <v>50</v>
      </c>
      <c r="B58" s="1" t="n">
        <v>0.37</v>
      </c>
    </row>
    <row r="59" customFormat="false" ht="12.8" hidden="false" customHeight="false" outlineLevel="0" collapsed="false">
      <c r="A59" s="0" t="n">
        <v>50</v>
      </c>
      <c r="B59" s="1" t="n">
        <v>0.1</v>
      </c>
    </row>
    <row r="60" customFormat="false" ht="12.8" hidden="false" customHeight="false" outlineLevel="0" collapsed="false">
      <c r="A60" s="0" t="n">
        <v>200</v>
      </c>
      <c r="B60" s="1" t="n">
        <v>0.41</v>
      </c>
    </row>
    <row r="61" customFormat="false" ht="12.8" hidden="false" customHeight="false" outlineLevel="0" collapsed="false">
      <c r="A61" s="0" t="n">
        <v>50</v>
      </c>
      <c r="B61" s="1" t="n">
        <v>0.1</v>
      </c>
    </row>
    <row r="62" customFormat="false" ht="12.8" hidden="false" customHeight="false" outlineLevel="0" collapsed="false">
      <c r="A62" s="0" t="n">
        <v>50</v>
      </c>
      <c r="B62" s="1" t="n">
        <v>0.1</v>
      </c>
    </row>
    <row r="63" customFormat="false" ht="12.8" hidden="false" customHeight="false" outlineLevel="0" collapsed="false">
      <c r="A63" s="0" t="n">
        <v>100</v>
      </c>
      <c r="B63" s="1" t="n">
        <v>0.6</v>
      </c>
    </row>
    <row r="64" customFormat="false" ht="12.8" hidden="false" customHeight="false" outlineLevel="0" collapsed="false">
      <c r="A64" s="0" t="n">
        <v>200</v>
      </c>
      <c r="B64" s="1" t="n">
        <v>2.1</v>
      </c>
    </row>
    <row r="65" customFormat="false" ht="12.8" hidden="false" customHeight="false" outlineLevel="0" collapsed="false">
      <c r="A65" s="0" t="n">
        <v>450</v>
      </c>
      <c r="B65" s="1" t="n">
        <v>5.6</v>
      </c>
    </row>
    <row r="66" customFormat="false" ht="12.8" hidden="false" customHeight="false" outlineLevel="0" collapsed="false">
      <c r="A66" s="0" t="n">
        <v>50</v>
      </c>
      <c r="B66" s="1" t="n">
        <v>1</v>
      </c>
    </row>
    <row r="67" customFormat="false" ht="12.8" hidden="false" customHeight="false" outlineLevel="0" collapsed="false">
      <c r="A67" s="0" t="n">
        <v>30</v>
      </c>
      <c r="B67" s="1" t="n">
        <v>0.35</v>
      </c>
    </row>
    <row r="68" customFormat="false" ht="12.8" hidden="false" customHeight="false" outlineLevel="0" collapsed="false">
      <c r="A68" s="0" t="n">
        <v>120</v>
      </c>
      <c r="B68" s="1" t="n">
        <v>0.5</v>
      </c>
    </row>
    <row r="69" customFormat="false" ht="12.8" hidden="false" customHeight="false" outlineLevel="0" collapsed="false">
      <c r="A69" s="0" t="n">
        <v>350</v>
      </c>
      <c r="B69" s="1" t="n">
        <v>0.5</v>
      </c>
    </row>
    <row r="70" customFormat="false" ht="12.8" hidden="false" customHeight="false" outlineLevel="0" collapsed="false">
      <c r="A70" s="0" t="n">
        <v>50</v>
      </c>
      <c r="B70" s="1" t="n">
        <v>0.1</v>
      </c>
    </row>
    <row r="71" customFormat="false" ht="12.8" hidden="false" customHeight="false" outlineLevel="0" collapsed="false">
      <c r="A71" s="0" t="n">
        <v>150</v>
      </c>
      <c r="B71" s="1" t="n">
        <v>5</v>
      </c>
    </row>
    <row r="72" customFormat="false" ht="12.8" hidden="false" customHeight="false" outlineLevel="0" collapsed="false">
      <c r="A72" s="0" t="n">
        <v>200</v>
      </c>
      <c r="B72" s="1" t="n">
        <v>2.5</v>
      </c>
    </row>
    <row r="73" customFormat="false" ht="12.8" hidden="false" customHeight="false" outlineLevel="0" collapsed="false">
      <c r="A73" s="0" t="n">
        <v>200</v>
      </c>
      <c r="B73" s="1" t="n">
        <v>1.2</v>
      </c>
    </row>
    <row r="74" customFormat="false" ht="12.8" hidden="false" customHeight="false" outlineLevel="0" collapsed="false">
      <c r="A74" s="0" t="n">
        <v>600</v>
      </c>
      <c r="B74" s="1" t="n">
        <v>5.71</v>
      </c>
    </row>
    <row r="75" customFormat="false" ht="12.8" hidden="false" customHeight="false" outlineLevel="0" collapsed="false">
      <c r="A75" s="0" t="n">
        <v>50</v>
      </c>
      <c r="B75" s="1" t="n">
        <v>0.47</v>
      </c>
    </row>
    <row r="76" customFormat="false" ht="12.8" hidden="false" customHeight="false" outlineLevel="0" collapsed="false">
      <c r="A76" s="0" t="n">
        <v>310</v>
      </c>
      <c r="B76" s="1" t="n">
        <v>1.1</v>
      </c>
    </row>
    <row r="77" customFormat="false" ht="12.8" hidden="false" customHeight="false" outlineLevel="0" collapsed="false">
      <c r="A77" s="0" t="n">
        <v>200</v>
      </c>
      <c r="B77" s="1" t="n">
        <v>0.5</v>
      </c>
    </row>
    <row r="78" customFormat="false" ht="12.8" hidden="false" customHeight="false" outlineLevel="0" collapsed="false">
      <c r="A78" s="0" t="n">
        <v>100</v>
      </c>
      <c r="B78" s="1" t="n">
        <v>1</v>
      </c>
    </row>
    <row r="79" customFormat="false" ht="12.8" hidden="false" customHeight="false" outlineLevel="0" collapsed="false">
      <c r="A79" s="0" t="n">
        <v>50</v>
      </c>
      <c r="B79" s="1" t="n">
        <v>0.2</v>
      </c>
    </row>
    <row r="80" customFormat="false" ht="12.8" hidden="false" customHeight="false" outlineLevel="0" collapsed="false">
      <c r="A80" s="0" t="n">
        <v>300</v>
      </c>
      <c r="B80" s="1" t="n">
        <v>1.13</v>
      </c>
    </row>
    <row r="81" customFormat="false" ht="12.8" hidden="false" customHeight="false" outlineLevel="0" collapsed="false">
      <c r="A81" s="0" t="n">
        <v>320</v>
      </c>
      <c r="B81" s="1" t="n">
        <v>3.5</v>
      </c>
    </row>
    <row r="82" customFormat="false" ht="12.8" hidden="false" customHeight="false" outlineLevel="0" collapsed="false">
      <c r="A82" s="0" t="n">
        <v>350</v>
      </c>
      <c r="B82" s="1" t="n">
        <v>4.8</v>
      </c>
    </row>
    <row r="83" customFormat="false" ht="12.8" hidden="false" customHeight="false" outlineLevel="0" collapsed="false">
      <c r="A83" s="0" t="n">
        <v>500</v>
      </c>
      <c r="B83" s="1" t="n">
        <v>1.8</v>
      </c>
    </row>
    <row r="84" customFormat="false" ht="12.8" hidden="false" customHeight="false" outlineLevel="0" collapsed="false">
      <c r="A84" s="0" t="n">
        <v>850</v>
      </c>
      <c r="B84" s="1" t="n">
        <v>3.5</v>
      </c>
    </row>
    <row r="85" customFormat="false" ht="12.8" hidden="false" customHeight="false" outlineLevel="0" collapsed="false">
      <c r="A85" s="0" t="n">
        <v>10</v>
      </c>
      <c r="B85" s="1" t="n">
        <v>0.1</v>
      </c>
    </row>
    <row r="86" customFormat="false" ht="12.8" hidden="false" customHeight="false" outlineLevel="0" collapsed="false">
      <c r="A86" s="0" t="n">
        <v>25</v>
      </c>
      <c r="B86" s="1" t="n">
        <v>0.11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2021-06-04T19:09:26Z</dcterms:created>
  <dc:creator/>
  <dc:description/>
  <dc:language>en-US</dc:language>
  <cp:lastModifiedBy/>
  <dcterms:modified xsi:type="dcterms:W3CDTF">2021-06-04T20:03:34Z</dcterms:modified>
  <cp:revision>1</cp:revision>
  <dc:subject/>
  <dc:title/>
</cp:coreProperties>
</file>