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<sst xmlns="http://schemas.openxmlformats.org/spreadsheetml/2006/main" count="8" uniqueCount="8">
  <si>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x</t>
  </si>
  <si>
    <t xml:space="preserve">df=1</t>
  </si>
  <si>
    <t xml:space="preserve">df=2</t>
  </si>
  <si>
    <t xml:space="preserve">df=3</t>
  </si>
  <si>
    <t xml:space="preserve">df=10</t>
  </si>
  <si>
    <t xml:space="preserve">df=20</t>
  </si>
  <si>
    <t xml:space="preserve">df=30</t>
  </si>
  <si>
    <t xml:space="preserve">df=infinity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</si>
</sst>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The density functions of the Student t-distribution, df degrees of freedom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df=1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Sheet1!$A$2:$A$66</c:f>
              <c:numCache>
                <c:formatCode>General</c:formatCode>
                <c:ptCount val="65"/>
                <c:pt idx="0">
                  <c:v>-4</c:v>
                </c:pt>
                <c:pt idx="1">
                  <c:v>-3.875</c:v>
                </c:pt>
                <c:pt idx="2">
                  <c:v>-3.75</c:v>
                </c:pt>
                <c:pt idx="3">
                  <c:v>-3.625</c:v>
                </c:pt>
                <c:pt idx="4">
                  <c:v>-3.5</c:v>
                </c:pt>
                <c:pt idx="5">
                  <c:v>-3.375</c:v>
                </c:pt>
                <c:pt idx="6">
                  <c:v>-3.25</c:v>
                </c:pt>
                <c:pt idx="7">
                  <c:v>-3.125</c:v>
                </c:pt>
                <c:pt idx="8">
                  <c:v>-3</c:v>
                </c:pt>
                <c:pt idx="9">
                  <c:v>-2.875</c:v>
                </c:pt>
                <c:pt idx="10">
                  <c:v>-2.75</c:v>
                </c:pt>
                <c:pt idx="11">
                  <c:v>-2.625</c:v>
                </c:pt>
                <c:pt idx="12">
                  <c:v>-2.5</c:v>
                </c:pt>
                <c:pt idx="13">
                  <c:v>-2.375</c:v>
                </c:pt>
                <c:pt idx="14">
                  <c:v>-2.25</c:v>
                </c:pt>
                <c:pt idx="15">
                  <c:v>-2.125</c:v>
                </c:pt>
                <c:pt idx="16">
                  <c:v>-2</c:v>
                </c:pt>
                <c:pt idx="17">
                  <c:v>-1.875</c:v>
                </c:pt>
                <c:pt idx="18">
                  <c:v>-1.75</c:v>
                </c:pt>
                <c:pt idx="19">
                  <c:v>-1.625</c:v>
                </c:pt>
                <c:pt idx="20">
                  <c:v>-1.5</c:v>
                </c:pt>
                <c:pt idx="21">
                  <c:v>-1.375</c:v>
                </c:pt>
                <c:pt idx="22">
                  <c:v>-1.25</c:v>
                </c:pt>
                <c:pt idx="23">
                  <c:v>-1.125</c:v>
                </c:pt>
                <c:pt idx="24">
                  <c:v>-1</c:v>
                </c:pt>
                <c:pt idx="25">
                  <c:v>-0.875</c:v>
                </c:pt>
                <c:pt idx="26">
                  <c:v>-0.75</c:v>
                </c:pt>
                <c:pt idx="27">
                  <c:v>-0.625</c:v>
                </c:pt>
                <c:pt idx="28">
                  <c:v>-0.5</c:v>
                </c:pt>
                <c:pt idx="29">
                  <c:v>-0.375</c:v>
                </c:pt>
                <c:pt idx="30">
                  <c:v>-0.25</c:v>
                </c:pt>
                <c:pt idx="31">
                  <c:v>-0.125</c:v>
                </c:pt>
                <c:pt idx="32">
                  <c:v>0</c:v>
                </c:pt>
                <c:pt idx="33">
                  <c:v>0.125</c:v>
                </c:pt>
                <c:pt idx="34">
                  <c:v>0.25</c:v>
                </c:pt>
                <c:pt idx="35">
                  <c:v>0.375</c:v>
                </c:pt>
                <c:pt idx="36">
                  <c:v>0.5</c:v>
                </c:pt>
                <c:pt idx="37">
                  <c:v>0.625</c:v>
                </c:pt>
                <c:pt idx="38">
                  <c:v>0.75</c:v>
                </c:pt>
                <c:pt idx="39">
                  <c:v>0.875</c:v>
                </c:pt>
                <c:pt idx="40">
                  <c:v>1</c:v>
                </c:pt>
                <c:pt idx="41">
                  <c:v>1.125</c:v>
                </c:pt>
                <c:pt idx="42">
                  <c:v>1.25</c:v>
                </c:pt>
                <c:pt idx="43">
                  <c:v>1.375</c:v>
                </c:pt>
                <c:pt idx="44">
                  <c:v>1.5</c:v>
                </c:pt>
                <c:pt idx="45">
                  <c:v>1.625</c:v>
                </c:pt>
                <c:pt idx="46">
                  <c:v>1.75</c:v>
                </c:pt>
                <c:pt idx="47">
                  <c:v>1.875</c:v>
                </c:pt>
                <c:pt idx="48">
                  <c:v>2</c:v>
                </c:pt>
                <c:pt idx="49">
                  <c:v>2.125</c:v>
                </c:pt>
                <c:pt idx="50">
                  <c:v>2.25</c:v>
                </c:pt>
                <c:pt idx="51">
                  <c:v>2.375</c:v>
                </c:pt>
                <c:pt idx="52">
                  <c:v>2.5</c:v>
                </c:pt>
                <c:pt idx="53">
                  <c:v>2.625</c:v>
                </c:pt>
                <c:pt idx="54">
                  <c:v>2.75</c:v>
                </c:pt>
                <c:pt idx="55">
                  <c:v>2.875</c:v>
                </c:pt>
                <c:pt idx="56">
                  <c:v>3</c:v>
                </c:pt>
                <c:pt idx="57">
                  <c:v>3.125</c:v>
                </c:pt>
                <c:pt idx="58">
                  <c:v>3.25</c:v>
                </c:pt>
                <c:pt idx="59">
                  <c:v>3.375</c:v>
                </c:pt>
                <c:pt idx="60">
                  <c:v>3.5</c:v>
                </c:pt>
                <c:pt idx="61">
                  <c:v>3.625</c:v>
                </c:pt>
                <c:pt idx="62">
                  <c:v>3.75</c:v>
                </c:pt>
                <c:pt idx="63">
                  <c:v>3.875</c:v>
                </c:pt>
                <c:pt idx="64">
                  <c:v>4</c:v>
                </c:pt>
              </c:numCache>
            </c:numRef>
          </c:xVal>
          <c:yVal>
            <c:numRef>
              <c:f>Sheet1!$B$2:$B$66</c:f>
              <c:numCache>
                <c:formatCode>General</c:formatCode>
                <c:ptCount val="65"/>
                <c:pt idx="0">
                  <c:v>0.0187241109519877</c:v>
                </c:pt>
                <c:pt idx="1">
                  <c:v>0.0198749587470855</c:v>
                </c:pt>
                <c:pt idx="2">
                  <c:v>0.021132606551621</c:v>
                </c:pt>
                <c:pt idx="3">
                  <c:v>0.0225103123931079</c:v>
                </c:pt>
                <c:pt idx="4">
                  <c:v>0.0240233876365125</c:v>
                </c:pt>
                <c:pt idx="5">
                  <c:v>0.0256895746730928</c:v>
                </c:pt>
                <c:pt idx="6">
                  <c:v>0.0275295036699495</c:v>
                </c:pt>
                <c:pt idx="7">
                  <c:v>0.0295672463218615</c:v>
                </c:pt>
                <c:pt idx="8">
                  <c:v>0.0318309886183791</c:v>
                </c:pt>
                <c:pt idx="9">
                  <c:v>0.0343538494363619</c:v>
                </c:pt>
                <c:pt idx="10">
                  <c:v>0.0371748772185449</c:v>
                </c:pt>
                <c:pt idx="11">
                  <c:v>0.0403402628034903</c:v>
                </c:pt>
                <c:pt idx="12">
                  <c:v>0.0439048118874194</c:v>
                </c:pt>
                <c:pt idx="13">
                  <c:v>0.0479337240370885</c:v>
                </c:pt>
                <c:pt idx="14">
                  <c:v>0.0525047234942335</c:v>
                </c:pt>
                <c:pt idx="15">
                  <c:v>0.0577105742656165</c:v>
                </c:pt>
                <c:pt idx="16">
                  <c:v>0.0636619772367582</c:v>
                </c:pt>
                <c:pt idx="17">
                  <c:v>0.0704907706427772</c:v>
                </c:pt>
                <c:pt idx="18">
                  <c:v>0.0783532027529331</c:v>
                </c:pt>
                <c:pt idx="19">
                  <c:v>0.0874327584367494</c:v>
                </c:pt>
                <c:pt idx="20">
                  <c:v>0.0979415034411664</c:v>
                </c:pt>
                <c:pt idx="21">
                  <c:v>0.110118014679798</c:v>
                </c:pt>
                <c:pt idx="22">
                  <c:v>0.124218492169284</c:v>
                </c:pt>
                <c:pt idx="23">
                  <c:v>0.140495398039742</c:v>
                </c:pt>
                <c:pt idx="24">
                  <c:v>0.159154943091895</c:v>
                </c:pt>
                <c:pt idx="25">
                  <c:v>0.180281705449227</c:v>
                </c:pt>
                <c:pt idx="26">
                  <c:v>0.203718327157626</c:v>
                </c:pt>
                <c:pt idx="27">
                  <c:v>0.228896996806321</c:v>
                </c:pt>
                <c:pt idx="28">
                  <c:v>0.254647908947033</c:v>
                </c:pt>
                <c:pt idx="29">
                  <c:v>0.279066201585789</c:v>
                </c:pt>
                <c:pt idx="30">
                  <c:v>0.299585775231803</c:v>
                </c:pt>
                <c:pt idx="31">
                  <c:v>0.313412811011732</c:v>
                </c:pt>
                <c:pt idx="32">
                  <c:v>0.318309886183791</c:v>
                </c:pt>
                <c:pt idx="33">
                  <c:v>0.313412811011732</c:v>
                </c:pt>
                <c:pt idx="34">
                  <c:v>0.299585775231803</c:v>
                </c:pt>
                <c:pt idx="35">
                  <c:v>0.279066201585789</c:v>
                </c:pt>
                <c:pt idx="36">
                  <c:v>0.254647908947033</c:v>
                </c:pt>
                <c:pt idx="37">
                  <c:v>0.228896996806321</c:v>
                </c:pt>
                <c:pt idx="38">
                  <c:v>0.203718327157626</c:v>
                </c:pt>
                <c:pt idx="39">
                  <c:v>0.180281705449227</c:v>
                </c:pt>
                <c:pt idx="40">
                  <c:v>0.159154943091895</c:v>
                </c:pt>
                <c:pt idx="41">
                  <c:v>0.140495398039742</c:v>
                </c:pt>
                <c:pt idx="42">
                  <c:v>0.124218492169284</c:v>
                </c:pt>
                <c:pt idx="43">
                  <c:v>0.110118014679798</c:v>
                </c:pt>
                <c:pt idx="44">
                  <c:v>0.0979415034411664</c:v>
                </c:pt>
                <c:pt idx="45">
                  <c:v>0.0874327584367494</c:v>
                </c:pt>
                <c:pt idx="46">
                  <c:v>0.0783532027529331</c:v>
                </c:pt>
                <c:pt idx="47">
                  <c:v>0.0704907706427772</c:v>
                </c:pt>
                <c:pt idx="48">
                  <c:v>0.0636619772367582</c:v>
                </c:pt>
                <c:pt idx="49">
                  <c:v>0.0577105742656165</c:v>
                </c:pt>
                <c:pt idx="50">
                  <c:v>0.0525047234942335</c:v>
                </c:pt>
                <c:pt idx="51">
                  <c:v>0.0479337240370885</c:v>
                </c:pt>
                <c:pt idx="52">
                  <c:v>0.0439048118874194</c:v>
                </c:pt>
                <c:pt idx="53">
                  <c:v>0.0403402628034903</c:v>
                </c:pt>
                <c:pt idx="54">
                  <c:v>0.0371748772185449</c:v>
                </c:pt>
                <c:pt idx="55">
                  <c:v>0.0343538494363619</c:v>
                </c:pt>
                <c:pt idx="56">
                  <c:v>0.0318309886183791</c:v>
                </c:pt>
                <c:pt idx="57">
                  <c:v>0.0295672463218615</c:v>
                </c:pt>
                <c:pt idx="58">
                  <c:v>0.0275295036699495</c:v>
                </c:pt>
                <c:pt idx="59">
                  <c:v>0.0256895746730928</c:v>
                </c:pt>
                <c:pt idx="60">
                  <c:v>0.0240233876365125</c:v>
                </c:pt>
                <c:pt idx="61">
                  <c:v>0.0225103123931079</c:v>
                </c:pt>
                <c:pt idx="62">
                  <c:v>0.021132606551621</c:v>
                </c:pt>
                <c:pt idx="63">
                  <c:v>0.0198749587470855</c:v>
                </c:pt>
                <c:pt idx="64">
                  <c:v>0.0187241109519877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df=2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Sheet1!$A$2:$A$66</c:f>
              <c:numCache>
                <c:formatCode>General</c:formatCode>
                <c:ptCount val="65"/>
                <c:pt idx="0">
                  <c:v>-4</c:v>
                </c:pt>
                <c:pt idx="1">
                  <c:v>-3.875</c:v>
                </c:pt>
                <c:pt idx="2">
                  <c:v>-3.75</c:v>
                </c:pt>
                <c:pt idx="3">
                  <c:v>-3.625</c:v>
                </c:pt>
                <c:pt idx="4">
                  <c:v>-3.5</c:v>
                </c:pt>
                <c:pt idx="5">
                  <c:v>-3.375</c:v>
                </c:pt>
                <c:pt idx="6">
                  <c:v>-3.25</c:v>
                </c:pt>
                <c:pt idx="7">
                  <c:v>-3.125</c:v>
                </c:pt>
                <c:pt idx="8">
                  <c:v>-3</c:v>
                </c:pt>
                <c:pt idx="9">
                  <c:v>-2.875</c:v>
                </c:pt>
                <c:pt idx="10">
                  <c:v>-2.75</c:v>
                </c:pt>
                <c:pt idx="11">
                  <c:v>-2.625</c:v>
                </c:pt>
                <c:pt idx="12">
                  <c:v>-2.5</c:v>
                </c:pt>
                <c:pt idx="13">
                  <c:v>-2.375</c:v>
                </c:pt>
                <c:pt idx="14">
                  <c:v>-2.25</c:v>
                </c:pt>
                <c:pt idx="15">
                  <c:v>-2.125</c:v>
                </c:pt>
                <c:pt idx="16">
                  <c:v>-2</c:v>
                </c:pt>
                <c:pt idx="17">
                  <c:v>-1.875</c:v>
                </c:pt>
                <c:pt idx="18">
                  <c:v>-1.75</c:v>
                </c:pt>
                <c:pt idx="19">
                  <c:v>-1.625</c:v>
                </c:pt>
                <c:pt idx="20">
                  <c:v>-1.5</c:v>
                </c:pt>
                <c:pt idx="21">
                  <c:v>-1.375</c:v>
                </c:pt>
                <c:pt idx="22">
                  <c:v>-1.25</c:v>
                </c:pt>
                <c:pt idx="23">
                  <c:v>-1.125</c:v>
                </c:pt>
                <c:pt idx="24">
                  <c:v>-1</c:v>
                </c:pt>
                <c:pt idx="25">
                  <c:v>-0.875</c:v>
                </c:pt>
                <c:pt idx="26">
                  <c:v>-0.75</c:v>
                </c:pt>
                <c:pt idx="27">
                  <c:v>-0.625</c:v>
                </c:pt>
                <c:pt idx="28">
                  <c:v>-0.5</c:v>
                </c:pt>
                <c:pt idx="29">
                  <c:v>-0.375</c:v>
                </c:pt>
                <c:pt idx="30">
                  <c:v>-0.25</c:v>
                </c:pt>
                <c:pt idx="31">
                  <c:v>-0.125</c:v>
                </c:pt>
                <c:pt idx="32">
                  <c:v>0</c:v>
                </c:pt>
                <c:pt idx="33">
                  <c:v>0.125</c:v>
                </c:pt>
                <c:pt idx="34">
                  <c:v>0.25</c:v>
                </c:pt>
                <c:pt idx="35">
                  <c:v>0.375</c:v>
                </c:pt>
                <c:pt idx="36">
                  <c:v>0.5</c:v>
                </c:pt>
                <c:pt idx="37">
                  <c:v>0.625</c:v>
                </c:pt>
                <c:pt idx="38">
                  <c:v>0.75</c:v>
                </c:pt>
                <c:pt idx="39">
                  <c:v>0.875</c:v>
                </c:pt>
                <c:pt idx="40">
                  <c:v>1</c:v>
                </c:pt>
                <c:pt idx="41">
                  <c:v>1.125</c:v>
                </c:pt>
                <c:pt idx="42">
                  <c:v>1.25</c:v>
                </c:pt>
                <c:pt idx="43">
                  <c:v>1.375</c:v>
                </c:pt>
                <c:pt idx="44">
                  <c:v>1.5</c:v>
                </c:pt>
                <c:pt idx="45">
                  <c:v>1.625</c:v>
                </c:pt>
                <c:pt idx="46">
                  <c:v>1.75</c:v>
                </c:pt>
                <c:pt idx="47">
                  <c:v>1.875</c:v>
                </c:pt>
                <c:pt idx="48">
                  <c:v>2</c:v>
                </c:pt>
                <c:pt idx="49">
                  <c:v>2.125</c:v>
                </c:pt>
                <c:pt idx="50">
                  <c:v>2.25</c:v>
                </c:pt>
                <c:pt idx="51">
                  <c:v>2.375</c:v>
                </c:pt>
                <c:pt idx="52">
                  <c:v>2.5</c:v>
                </c:pt>
                <c:pt idx="53">
                  <c:v>2.625</c:v>
                </c:pt>
                <c:pt idx="54">
                  <c:v>2.75</c:v>
                </c:pt>
                <c:pt idx="55">
                  <c:v>2.875</c:v>
                </c:pt>
                <c:pt idx="56">
                  <c:v>3</c:v>
                </c:pt>
                <c:pt idx="57">
                  <c:v>3.125</c:v>
                </c:pt>
                <c:pt idx="58">
                  <c:v>3.25</c:v>
                </c:pt>
                <c:pt idx="59">
                  <c:v>3.375</c:v>
                </c:pt>
                <c:pt idx="60">
                  <c:v>3.5</c:v>
                </c:pt>
                <c:pt idx="61">
                  <c:v>3.625</c:v>
                </c:pt>
                <c:pt idx="62">
                  <c:v>3.75</c:v>
                </c:pt>
                <c:pt idx="63">
                  <c:v>3.875</c:v>
                </c:pt>
                <c:pt idx="64">
                  <c:v>4</c:v>
                </c:pt>
              </c:numCache>
            </c:numRef>
          </c:xVal>
          <c:yVal>
            <c:numRef>
              <c:f>Sheet1!$C$2:$C$66</c:f>
              <c:numCache>
                <c:formatCode>General</c:formatCode>
                <c:ptCount val="65"/>
                <c:pt idx="0">
                  <c:v>0.0130945700219731</c:v>
                </c:pt>
                <c:pt idx="1">
                  <c:v>0.0142471547430225</c:v>
                </c:pt>
                <c:pt idx="2">
                  <c:v>0.0155338922721072</c:v>
                </c:pt>
                <c:pt idx="3">
                  <c:v>0.016974003813006</c:v>
                </c:pt>
                <c:pt idx="4">
                  <c:v>0.0185899278184568</c:v>
                </c:pt>
                <c:pt idx="5">
                  <c:v>0.0204079192923454</c:v>
                </c:pt>
                <c:pt idx="6">
                  <c:v>0.0224587658780847</c:v>
                </c:pt>
                <c:pt idx="7">
                  <c:v>0.0247786417492995</c:v>
                </c:pt>
                <c:pt idx="8">
                  <c:v>0.0274101222343421</c:v>
                </c:pt>
                <c:pt idx="9">
                  <c:v>0.0304033827318208</c:v>
                </c:pt>
                <c:pt idx="10">
                  <c:v>0.0338176034909048</c:v>
                </c:pt>
                <c:pt idx="11">
                  <c:v>0.0377225950391851</c:v>
                </c:pt>
                <c:pt idx="12">
                  <c:v>0.042200643868048</c:v>
                </c:pt>
                <c:pt idx="13">
                  <c:v>0.0473485487531331</c:v>
                </c:pt>
                <c:pt idx="14">
                  <c:v>0.0532797659969471</c:v>
                </c:pt>
                <c:pt idx="15">
                  <c:v>0.0601264936977671</c:v>
                </c:pt>
                <c:pt idx="16">
                  <c:v>0.0680413817439772</c:v>
                </c:pt>
                <c:pt idx="17">
                  <c:v>0.077198329532896</c:v>
                </c:pt>
                <c:pt idx="18">
                  <c:v>0.0877914951989026</c:v>
                </c:pt>
                <c:pt idx="19">
                  <c:v>0.100031155835373</c:v>
                </c:pt>
                <c:pt idx="20">
                  <c:v>0.114134411781804</c:v>
                </c:pt>
                <c:pt idx="21">
                  <c:v>0.130307958340776</c:v>
                </c:pt>
                <c:pt idx="22">
                  <c:v>0.148719422547654</c:v>
                </c:pt>
                <c:pt idx="23">
                  <c:v>0.169453495454273</c:v>
                </c:pt>
                <c:pt idx="24">
                  <c:v>0.192450089729875</c:v>
                </c:pt>
                <c:pt idx="25">
                  <c:v>0.217425291716073</c:v>
                </c:pt>
                <c:pt idx="26">
                  <c:v>0.24378343319197</c:v>
                </c:pt>
                <c:pt idx="27">
                  <c:v>0.270540827927239</c:v>
                </c:pt>
                <c:pt idx="28">
                  <c:v>0.296296296296296</c:v>
                </c:pt>
                <c:pt idx="29">
                  <c:v>0.31929278886933</c:v>
                </c:pt>
                <c:pt idx="30">
                  <c:v>0.337605150944384</c:v>
                </c:pt>
                <c:pt idx="31">
                  <c:v>0.349450282200558</c:v>
                </c:pt>
                <c:pt idx="32">
                  <c:v>0.353553390593274</c:v>
                </c:pt>
                <c:pt idx="33">
                  <c:v>0.349450282200558</c:v>
                </c:pt>
                <c:pt idx="34">
                  <c:v>0.337605150944384</c:v>
                </c:pt>
                <c:pt idx="35">
                  <c:v>0.31929278886933</c:v>
                </c:pt>
                <c:pt idx="36">
                  <c:v>0.296296296296296</c:v>
                </c:pt>
                <c:pt idx="37">
                  <c:v>0.270540827927239</c:v>
                </c:pt>
                <c:pt idx="38">
                  <c:v>0.24378343319197</c:v>
                </c:pt>
                <c:pt idx="39">
                  <c:v>0.217425291716073</c:v>
                </c:pt>
                <c:pt idx="40">
                  <c:v>0.192450089729875</c:v>
                </c:pt>
                <c:pt idx="41">
                  <c:v>0.169453495454273</c:v>
                </c:pt>
                <c:pt idx="42">
                  <c:v>0.148719422547654</c:v>
                </c:pt>
                <c:pt idx="43">
                  <c:v>0.130307958340776</c:v>
                </c:pt>
                <c:pt idx="44">
                  <c:v>0.114134411781804</c:v>
                </c:pt>
                <c:pt idx="45">
                  <c:v>0.100031155835373</c:v>
                </c:pt>
                <c:pt idx="46">
                  <c:v>0.0877914951989026</c:v>
                </c:pt>
                <c:pt idx="47">
                  <c:v>0.077198329532896</c:v>
                </c:pt>
                <c:pt idx="48">
                  <c:v>0.0680413817439772</c:v>
                </c:pt>
                <c:pt idx="49">
                  <c:v>0.0601264936977671</c:v>
                </c:pt>
                <c:pt idx="50">
                  <c:v>0.0532797659969471</c:v>
                </c:pt>
                <c:pt idx="51">
                  <c:v>0.0473485487531331</c:v>
                </c:pt>
                <c:pt idx="52">
                  <c:v>0.042200643868048</c:v>
                </c:pt>
                <c:pt idx="53">
                  <c:v>0.0377225950391851</c:v>
                </c:pt>
                <c:pt idx="54">
                  <c:v>0.0338176034909048</c:v>
                </c:pt>
                <c:pt idx="55">
                  <c:v>0.0304033827318208</c:v>
                </c:pt>
                <c:pt idx="56">
                  <c:v>0.0274101222343421</c:v>
                </c:pt>
                <c:pt idx="57">
                  <c:v>0.0247786417492995</c:v>
                </c:pt>
                <c:pt idx="58">
                  <c:v>0.0224587658780847</c:v>
                </c:pt>
                <c:pt idx="59">
                  <c:v>0.0204079192923454</c:v>
                </c:pt>
                <c:pt idx="60">
                  <c:v>0.0185899278184568</c:v>
                </c:pt>
                <c:pt idx="61">
                  <c:v>0.016974003813006</c:v>
                </c:pt>
                <c:pt idx="62">
                  <c:v>0.0155338922721072</c:v>
                </c:pt>
                <c:pt idx="63">
                  <c:v>0.0142471547430225</c:v>
                </c:pt>
                <c:pt idx="64">
                  <c:v>0.0130945700219731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df=3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Sheet1!$A$2:$A$66</c:f>
              <c:numCache>
                <c:formatCode>General</c:formatCode>
                <c:ptCount val="65"/>
                <c:pt idx="0">
                  <c:v>-4</c:v>
                </c:pt>
                <c:pt idx="1">
                  <c:v>-3.875</c:v>
                </c:pt>
                <c:pt idx="2">
                  <c:v>-3.75</c:v>
                </c:pt>
                <c:pt idx="3">
                  <c:v>-3.625</c:v>
                </c:pt>
                <c:pt idx="4">
                  <c:v>-3.5</c:v>
                </c:pt>
                <c:pt idx="5">
                  <c:v>-3.375</c:v>
                </c:pt>
                <c:pt idx="6">
                  <c:v>-3.25</c:v>
                </c:pt>
                <c:pt idx="7">
                  <c:v>-3.125</c:v>
                </c:pt>
                <c:pt idx="8">
                  <c:v>-3</c:v>
                </c:pt>
                <c:pt idx="9">
                  <c:v>-2.875</c:v>
                </c:pt>
                <c:pt idx="10">
                  <c:v>-2.75</c:v>
                </c:pt>
                <c:pt idx="11">
                  <c:v>-2.625</c:v>
                </c:pt>
                <c:pt idx="12">
                  <c:v>-2.5</c:v>
                </c:pt>
                <c:pt idx="13">
                  <c:v>-2.375</c:v>
                </c:pt>
                <c:pt idx="14">
                  <c:v>-2.25</c:v>
                </c:pt>
                <c:pt idx="15">
                  <c:v>-2.125</c:v>
                </c:pt>
                <c:pt idx="16">
                  <c:v>-2</c:v>
                </c:pt>
                <c:pt idx="17">
                  <c:v>-1.875</c:v>
                </c:pt>
                <c:pt idx="18">
                  <c:v>-1.75</c:v>
                </c:pt>
                <c:pt idx="19">
                  <c:v>-1.625</c:v>
                </c:pt>
                <c:pt idx="20">
                  <c:v>-1.5</c:v>
                </c:pt>
                <c:pt idx="21">
                  <c:v>-1.375</c:v>
                </c:pt>
                <c:pt idx="22">
                  <c:v>-1.25</c:v>
                </c:pt>
                <c:pt idx="23">
                  <c:v>-1.125</c:v>
                </c:pt>
                <c:pt idx="24">
                  <c:v>-1</c:v>
                </c:pt>
                <c:pt idx="25">
                  <c:v>-0.875</c:v>
                </c:pt>
                <c:pt idx="26">
                  <c:v>-0.75</c:v>
                </c:pt>
                <c:pt idx="27">
                  <c:v>-0.625</c:v>
                </c:pt>
                <c:pt idx="28">
                  <c:v>-0.5</c:v>
                </c:pt>
                <c:pt idx="29">
                  <c:v>-0.375</c:v>
                </c:pt>
                <c:pt idx="30">
                  <c:v>-0.25</c:v>
                </c:pt>
                <c:pt idx="31">
                  <c:v>-0.125</c:v>
                </c:pt>
                <c:pt idx="32">
                  <c:v>0</c:v>
                </c:pt>
                <c:pt idx="33">
                  <c:v>0.125</c:v>
                </c:pt>
                <c:pt idx="34">
                  <c:v>0.25</c:v>
                </c:pt>
                <c:pt idx="35">
                  <c:v>0.375</c:v>
                </c:pt>
                <c:pt idx="36">
                  <c:v>0.5</c:v>
                </c:pt>
                <c:pt idx="37">
                  <c:v>0.625</c:v>
                </c:pt>
                <c:pt idx="38">
                  <c:v>0.75</c:v>
                </c:pt>
                <c:pt idx="39">
                  <c:v>0.875</c:v>
                </c:pt>
                <c:pt idx="40">
                  <c:v>1</c:v>
                </c:pt>
                <c:pt idx="41">
                  <c:v>1.125</c:v>
                </c:pt>
                <c:pt idx="42">
                  <c:v>1.25</c:v>
                </c:pt>
                <c:pt idx="43">
                  <c:v>1.375</c:v>
                </c:pt>
                <c:pt idx="44">
                  <c:v>1.5</c:v>
                </c:pt>
                <c:pt idx="45">
                  <c:v>1.625</c:v>
                </c:pt>
                <c:pt idx="46">
                  <c:v>1.75</c:v>
                </c:pt>
                <c:pt idx="47">
                  <c:v>1.875</c:v>
                </c:pt>
                <c:pt idx="48">
                  <c:v>2</c:v>
                </c:pt>
                <c:pt idx="49">
                  <c:v>2.125</c:v>
                </c:pt>
                <c:pt idx="50">
                  <c:v>2.25</c:v>
                </c:pt>
                <c:pt idx="51">
                  <c:v>2.375</c:v>
                </c:pt>
                <c:pt idx="52">
                  <c:v>2.5</c:v>
                </c:pt>
                <c:pt idx="53">
                  <c:v>2.625</c:v>
                </c:pt>
                <c:pt idx="54">
                  <c:v>2.75</c:v>
                </c:pt>
                <c:pt idx="55">
                  <c:v>2.875</c:v>
                </c:pt>
                <c:pt idx="56">
                  <c:v>3</c:v>
                </c:pt>
                <c:pt idx="57">
                  <c:v>3.125</c:v>
                </c:pt>
                <c:pt idx="58">
                  <c:v>3.25</c:v>
                </c:pt>
                <c:pt idx="59">
                  <c:v>3.375</c:v>
                </c:pt>
                <c:pt idx="60">
                  <c:v>3.5</c:v>
                </c:pt>
                <c:pt idx="61">
                  <c:v>3.625</c:v>
                </c:pt>
                <c:pt idx="62">
                  <c:v>3.75</c:v>
                </c:pt>
                <c:pt idx="63">
                  <c:v>3.875</c:v>
                </c:pt>
                <c:pt idx="64">
                  <c:v>4</c:v>
                </c:pt>
              </c:numCache>
            </c:numRef>
          </c:xVal>
          <c:yVal>
            <c:numRef>
              <c:f>Sheet1!$D$2:$D$66</c:f>
              <c:numCache>
                <c:formatCode>General</c:formatCode>
                <c:ptCount val="65"/>
                <c:pt idx="0">
                  <c:v>0.00916336114274447</c:v>
                </c:pt>
                <c:pt idx="1">
                  <c:v>0.0101920920754154</c:v>
                </c:pt>
                <c:pt idx="2">
                  <c:v>0.0113625727350142</c:v>
                </c:pt>
                <c:pt idx="3">
                  <c:v>0.0126975902983593</c:v>
                </c:pt>
                <c:pt idx="4">
                  <c:v>0.0142240188015297</c:v>
                </c:pt>
                <c:pt idx="5">
                  <c:v>0.0159735958694357</c:v>
                </c:pt>
                <c:pt idx="6">
                  <c:v>0.0179838430072389</c:v>
                </c:pt>
                <c:pt idx="7">
                  <c:v>0.020299149400044</c:v>
                </c:pt>
                <c:pt idx="8">
                  <c:v>0.0229720373092413</c:v>
                </c:pt>
                <c:pt idx="9">
                  <c:v>0.0260646215552178</c:v>
                </c:pt>
                <c:pt idx="10">
                  <c:v>0.0296502637641495</c:v>
                </c:pt>
                <c:pt idx="11">
                  <c:v>0.0338154003076849</c:v>
                </c:pt>
                <c:pt idx="12">
                  <c:v>0.0386614857271673</c:v>
                </c:pt>
                <c:pt idx="13">
                  <c:v>0.0443069331964918</c:v>
                </c:pt>
                <c:pt idx="14">
                  <c:v>0.0508888398153881</c:v>
                </c:pt>
                <c:pt idx="15">
                  <c:v>0.0585641440600878</c:v>
                </c:pt>
                <c:pt idx="16">
                  <c:v>0.0675096606638929</c:v>
                </c:pt>
                <c:pt idx="17">
                  <c:v>0.0779201613321485</c:v>
                </c:pt>
                <c:pt idx="18">
                  <c:v>0.0900033142063846</c:v>
                </c:pt>
                <c:pt idx="19">
                  <c:v>0.103969881553134</c:v>
                </c:pt>
                <c:pt idx="20">
                  <c:v>0.120017174513587</c:v>
                </c:pt>
                <c:pt idx="21">
                  <c:v>0.138303534116771</c:v>
                </c:pt>
                <c:pt idx="22">
                  <c:v>0.158911837749648</c:v>
                </c:pt>
                <c:pt idx="23">
                  <c:v>0.181801163760227</c:v>
                </c:pt>
                <c:pt idx="24">
                  <c:v>0.206748335783172</c:v>
                </c:pt>
                <c:pt idx="25">
                  <c:v>0.233285565570255</c:v>
                </c:pt>
                <c:pt idx="26">
                  <c:v>0.260646716949176</c:v>
                </c:pt>
                <c:pt idx="27">
                  <c:v>0.287741488115823</c:v>
                </c:pt>
                <c:pt idx="28">
                  <c:v>0.313180911008829</c:v>
                </c:pt>
                <c:pt idx="29">
                  <c:v>0.335374345533179</c:v>
                </c:pt>
                <c:pt idx="30">
                  <c:v>0.35270353326442</c:v>
                </c:pt>
                <c:pt idx="31">
                  <c:v>0.363753629195038</c:v>
                </c:pt>
                <c:pt idx="32">
                  <c:v>0.367552596947861</c:v>
                </c:pt>
                <c:pt idx="33">
                  <c:v>0.363753629195038</c:v>
                </c:pt>
                <c:pt idx="34">
                  <c:v>0.35270353326442</c:v>
                </c:pt>
                <c:pt idx="35">
                  <c:v>0.335374345533179</c:v>
                </c:pt>
                <c:pt idx="36">
                  <c:v>0.313180911008829</c:v>
                </c:pt>
                <c:pt idx="37">
                  <c:v>0.287741488115823</c:v>
                </c:pt>
                <c:pt idx="38">
                  <c:v>0.260646716949176</c:v>
                </c:pt>
                <c:pt idx="39">
                  <c:v>0.233285565570255</c:v>
                </c:pt>
                <c:pt idx="40">
                  <c:v>0.206748335783172</c:v>
                </c:pt>
                <c:pt idx="41">
                  <c:v>0.181801163760227</c:v>
                </c:pt>
                <c:pt idx="42">
                  <c:v>0.158911837749648</c:v>
                </c:pt>
                <c:pt idx="43">
                  <c:v>0.138303534116771</c:v>
                </c:pt>
                <c:pt idx="44">
                  <c:v>0.120017174513587</c:v>
                </c:pt>
                <c:pt idx="45">
                  <c:v>0.103969881553134</c:v>
                </c:pt>
                <c:pt idx="46">
                  <c:v>0.0900033142063846</c:v>
                </c:pt>
                <c:pt idx="47">
                  <c:v>0.0779201613321485</c:v>
                </c:pt>
                <c:pt idx="48">
                  <c:v>0.0675096606638929</c:v>
                </c:pt>
                <c:pt idx="49">
                  <c:v>0.0585641440600878</c:v>
                </c:pt>
                <c:pt idx="50">
                  <c:v>0.0508888398153881</c:v>
                </c:pt>
                <c:pt idx="51">
                  <c:v>0.0443069331964918</c:v>
                </c:pt>
                <c:pt idx="52">
                  <c:v>0.0386614857271673</c:v>
                </c:pt>
                <c:pt idx="53">
                  <c:v>0.0338154003076849</c:v>
                </c:pt>
                <c:pt idx="54">
                  <c:v>0.0296502637641495</c:v>
                </c:pt>
                <c:pt idx="55">
                  <c:v>0.0260646215552178</c:v>
                </c:pt>
                <c:pt idx="56">
                  <c:v>0.0229720373092413</c:v>
                </c:pt>
                <c:pt idx="57">
                  <c:v>0.020299149400044</c:v>
                </c:pt>
                <c:pt idx="58">
                  <c:v>0.0179838430072389</c:v>
                </c:pt>
                <c:pt idx="59">
                  <c:v>0.0159735958694357</c:v>
                </c:pt>
                <c:pt idx="60">
                  <c:v>0.0142240188015297</c:v>
                </c:pt>
                <c:pt idx="61">
                  <c:v>0.0126975902983593</c:v>
                </c:pt>
                <c:pt idx="62">
                  <c:v>0.0113625727350142</c:v>
                </c:pt>
                <c:pt idx="63">
                  <c:v>0.0101920920754154</c:v>
                </c:pt>
                <c:pt idx="64">
                  <c:v>0.00916336114274447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df=10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Sheet1!$A$2:$A$66</c:f>
              <c:numCache>
                <c:formatCode>General</c:formatCode>
                <c:ptCount val="65"/>
                <c:pt idx="0">
                  <c:v>-4</c:v>
                </c:pt>
                <c:pt idx="1">
                  <c:v>-3.875</c:v>
                </c:pt>
                <c:pt idx="2">
                  <c:v>-3.75</c:v>
                </c:pt>
                <c:pt idx="3">
                  <c:v>-3.625</c:v>
                </c:pt>
                <c:pt idx="4">
                  <c:v>-3.5</c:v>
                </c:pt>
                <c:pt idx="5">
                  <c:v>-3.375</c:v>
                </c:pt>
                <c:pt idx="6">
                  <c:v>-3.25</c:v>
                </c:pt>
                <c:pt idx="7">
                  <c:v>-3.125</c:v>
                </c:pt>
                <c:pt idx="8">
                  <c:v>-3</c:v>
                </c:pt>
                <c:pt idx="9">
                  <c:v>-2.875</c:v>
                </c:pt>
                <c:pt idx="10">
                  <c:v>-2.75</c:v>
                </c:pt>
                <c:pt idx="11">
                  <c:v>-2.625</c:v>
                </c:pt>
                <c:pt idx="12">
                  <c:v>-2.5</c:v>
                </c:pt>
                <c:pt idx="13">
                  <c:v>-2.375</c:v>
                </c:pt>
                <c:pt idx="14">
                  <c:v>-2.25</c:v>
                </c:pt>
                <c:pt idx="15">
                  <c:v>-2.125</c:v>
                </c:pt>
                <c:pt idx="16">
                  <c:v>-2</c:v>
                </c:pt>
                <c:pt idx="17">
                  <c:v>-1.875</c:v>
                </c:pt>
                <c:pt idx="18">
                  <c:v>-1.75</c:v>
                </c:pt>
                <c:pt idx="19">
                  <c:v>-1.625</c:v>
                </c:pt>
                <c:pt idx="20">
                  <c:v>-1.5</c:v>
                </c:pt>
                <c:pt idx="21">
                  <c:v>-1.375</c:v>
                </c:pt>
                <c:pt idx="22">
                  <c:v>-1.25</c:v>
                </c:pt>
                <c:pt idx="23">
                  <c:v>-1.125</c:v>
                </c:pt>
                <c:pt idx="24">
                  <c:v>-1</c:v>
                </c:pt>
                <c:pt idx="25">
                  <c:v>-0.875</c:v>
                </c:pt>
                <c:pt idx="26">
                  <c:v>-0.75</c:v>
                </c:pt>
                <c:pt idx="27">
                  <c:v>-0.625</c:v>
                </c:pt>
                <c:pt idx="28">
                  <c:v>-0.5</c:v>
                </c:pt>
                <c:pt idx="29">
                  <c:v>-0.375</c:v>
                </c:pt>
                <c:pt idx="30">
                  <c:v>-0.25</c:v>
                </c:pt>
                <c:pt idx="31">
                  <c:v>-0.125</c:v>
                </c:pt>
                <c:pt idx="32">
                  <c:v>0</c:v>
                </c:pt>
                <c:pt idx="33">
                  <c:v>0.125</c:v>
                </c:pt>
                <c:pt idx="34">
                  <c:v>0.25</c:v>
                </c:pt>
                <c:pt idx="35">
                  <c:v>0.375</c:v>
                </c:pt>
                <c:pt idx="36">
                  <c:v>0.5</c:v>
                </c:pt>
                <c:pt idx="37">
                  <c:v>0.625</c:v>
                </c:pt>
                <c:pt idx="38">
                  <c:v>0.75</c:v>
                </c:pt>
                <c:pt idx="39">
                  <c:v>0.875</c:v>
                </c:pt>
                <c:pt idx="40">
                  <c:v>1</c:v>
                </c:pt>
                <c:pt idx="41">
                  <c:v>1.125</c:v>
                </c:pt>
                <c:pt idx="42">
                  <c:v>1.25</c:v>
                </c:pt>
                <c:pt idx="43">
                  <c:v>1.375</c:v>
                </c:pt>
                <c:pt idx="44">
                  <c:v>1.5</c:v>
                </c:pt>
                <c:pt idx="45">
                  <c:v>1.625</c:v>
                </c:pt>
                <c:pt idx="46">
                  <c:v>1.75</c:v>
                </c:pt>
                <c:pt idx="47">
                  <c:v>1.875</c:v>
                </c:pt>
                <c:pt idx="48">
                  <c:v>2</c:v>
                </c:pt>
                <c:pt idx="49">
                  <c:v>2.125</c:v>
                </c:pt>
                <c:pt idx="50">
                  <c:v>2.25</c:v>
                </c:pt>
                <c:pt idx="51">
                  <c:v>2.375</c:v>
                </c:pt>
                <c:pt idx="52">
                  <c:v>2.5</c:v>
                </c:pt>
                <c:pt idx="53">
                  <c:v>2.625</c:v>
                </c:pt>
                <c:pt idx="54">
                  <c:v>2.75</c:v>
                </c:pt>
                <c:pt idx="55">
                  <c:v>2.875</c:v>
                </c:pt>
                <c:pt idx="56">
                  <c:v>3</c:v>
                </c:pt>
                <c:pt idx="57">
                  <c:v>3.125</c:v>
                </c:pt>
                <c:pt idx="58">
                  <c:v>3.25</c:v>
                </c:pt>
                <c:pt idx="59">
                  <c:v>3.375</c:v>
                </c:pt>
                <c:pt idx="60">
                  <c:v>3.5</c:v>
                </c:pt>
                <c:pt idx="61">
                  <c:v>3.625</c:v>
                </c:pt>
                <c:pt idx="62">
                  <c:v>3.75</c:v>
                </c:pt>
                <c:pt idx="63">
                  <c:v>3.875</c:v>
                </c:pt>
                <c:pt idx="64">
                  <c:v>4</c:v>
                </c:pt>
              </c:numCache>
            </c:numRef>
          </c:xVal>
          <c:yVal>
            <c:numRef>
              <c:f>Sheet1!$E$2:$E$66</c:f>
              <c:numCache>
                <c:formatCode>General</c:formatCode>
                <c:ptCount val="65"/>
                <c:pt idx="0">
                  <c:v>0.00203103391104122</c:v>
                </c:pt>
                <c:pt idx="1">
                  <c:v>0.00251135506824631</c:v>
                </c:pt>
                <c:pt idx="2">
                  <c:v>0.00310954238424345</c:v>
                </c:pt>
                <c:pt idx="3">
                  <c:v>0.00385485124338714</c:v>
                </c:pt>
                <c:pt idx="4">
                  <c:v>0.00478360712670132</c:v>
                </c:pt>
                <c:pt idx="5">
                  <c:v>0.00594075279013212</c:v>
                </c:pt>
                <c:pt idx="6">
                  <c:v>0.00738164328675555</c:v>
                </c:pt>
                <c:pt idx="7">
                  <c:v>0.00917408067846241</c:v>
                </c:pt>
                <c:pt idx="8">
                  <c:v>0.0114005494645425</c:v>
                </c:pt>
                <c:pt idx="9">
                  <c:v>0.0141605667004116</c:v>
                </c:pt>
                <c:pt idx="10">
                  <c:v>0.0175729929017206</c:v>
                </c:pt>
                <c:pt idx="11">
                  <c:v>0.0217780569242191</c:v>
                </c:pt>
                <c:pt idx="12">
                  <c:v>0.0269387276282445</c:v>
                </c:pt>
                <c:pt idx="13">
                  <c:v>0.0332409187847683</c:v>
                </c:pt>
                <c:pt idx="14">
                  <c:v>0.0408918499889489</c:v>
                </c:pt>
                <c:pt idx="15">
                  <c:v>0.050115725110345</c:v>
                </c:pt>
                <c:pt idx="16">
                  <c:v>0.0611457663212182</c:v>
                </c:pt>
                <c:pt idx="17">
                  <c:v>0.0742116101272924</c:v>
                </c:pt>
                <c:pt idx="18">
                  <c:v>0.0895212050195621</c:v>
                </c:pt>
                <c:pt idx="19">
                  <c:v>0.107236733475078</c:v>
                </c:pt>
                <c:pt idx="20">
                  <c:v>0.127444794287092</c:v>
                </c:pt>
                <c:pt idx="21">
                  <c:v>0.150122169890775</c:v>
                </c:pt>
                <c:pt idx="22">
                  <c:v>0.175099935807413</c:v>
                </c:pt>
                <c:pt idx="23">
                  <c:v>0.202030291021184</c:v>
                </c:pt>
                <c:pt idx="24">
                  <c:v>0.230361989229139</c:v>
                </c:pt>
                <c:pt idx="25">
                  <c:v>0.259331173274921</c:v>
                </c:pt>
                <c:pt idx="26">
                  <c:v>0.287974224693945</c:v>
                </c:pt>
                <c:pt idx="27">
                  <c:v>0.315167477824462</c:v>
                </c:pt>
                <c:pt idx="28">
                  <c:v>0.339695136352078</c:v>
                </c:pt>
                <c:pt idx="29">
                  <c:v>0.360341774576743</c:v>
                </c:pt>
                <c:pt idx="30">
                  <c:v>0.376000285689718</c:v>
                </c:pt>
                <c:pt idx="31">
                  <c:v>0.385781398422958</c:v>
                </c:pt>
                <c:pt idx="32">
                  <c:v>0.389108383966031</c:v>
                </c:pt>
                <c:pt idx="33">
                  <c:v>0.385781398422958</c:v>
                </c:pt>
                <c:pt idx="34">
                  <c:v>0.376000285689718</c:v>
                </c:pt>
                <c:pt idx="35">
                  <c:v>0.360341774576743</c:v>
                </c:pt>
                <c:pt idx="36">
                  <c:v>0.339695136352078</c:v>
                </c:pt>
                <c:pt idx="37">
                  <c:v>0.315167477824462</c:v>
                </c:pt>
                <c:pt idx="38">
                  <c:v>0.287974224693945</c:v>
                </c:pt>
                <c:pt idx="39">
                  <c:v>0.259331173274921</c:v>
                </c:pt>
                <c:pt idx="40">
                  <c:v>0.230361989229139</c:v>
                </c:pt>
                <c:pt idx="41">
                  <c:v>0.202030291021184</c:v>
                </c:pt>
                <c:pt idx="42">
                  <c:v>0.175099935807413</c:v>
                </c:pt>
                <c:pt idx="43">
                  <c:v>0.150122169890775</c:v>
                </c:pt>
                <c:pt idx="44">
                  <c:v>0.127444794287092</c:v>
                </c:pt>
                <c:pt idx="45">
                  <c:v>0.107236733475078</c:v>
                </c:pt>
                <c:pt idx="46">
                  <c:v>0.0895212050195621</c:v>
                </c:pt>
                <c:pt idx="47">
                  <c:v>0.0742116101272924</c:v>
                </c:pt>
                <c:pt idx="48">
                  <c:v>0.0611457663212182</c:v>
                </c:pt>
                <c:pt idx="49">
                  <c:v>0.050115725110345</c:v>
                </c:pt>
                <c:pt idx="50">
                  <c:v>0.0408918499889489</c:v>
                </c:pt>
                <c:pt idx="51">
                  <c:v>0.0332409187847683</c:v>
                </c:pt>
                <c:pt idx="52">
                  <c:v>0.0269387276282445</c:v>
                </c:pt>
                <c:pt idx="53">
                  <c:v>0.0217780569242191</c:v>
                </c:pt>
                <c:pt idx="54">
                  <c:v>0.0175729929017206</c:v>
                </c:pt>
                <c:pt idx="55">
                  <c:v>0.0141605667004116</c:v>
                </c:pt>
                <c:pt idx="56">
                  <c:v>0.0114005494645425</c:v>
                </c:pt>
                <c:pt idx="57">
                  <c:v>0.00917408067846241</c:v>
                </c:pt>
                <c:pt idx="58">
                  <c:v>0.00738164328675555</c:v>
                </c:pt>
                <c:pt idx="59">
                  <c:v>0.00594075279013212</c:v>
                </c:pt>
                <c:pt idx="60">
                  <c:v>0.00478360712670132</c:v>
                </c:pt>
                <c:pt idx="61">
                  <c:v>0.00385485124338714</c:v>
                </c:pt>
                <c:pt idx="62">
                  <c:v>0.00310954238424345</c:v>
                </c:pt>
                <c:pt idx="63">
                  <c:v>0.00251135506824631</c:v>
                </c:pt>
                <c:pt idx="64">
                  <c:v>0.00203103391104122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df=20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Sheet1!$A$2:$A$66</c:f>
              <c:numCache>
                <c:formatCode>General</c:formatCode>
                <c:ptCount val="65"/>
                <c:pt idx="0">
                  <c:v>-4</c:v>
                </c:pt>
                <c:pt idx="1">
                  <c:v>-3.875</c:v>
                </c:pt>
                <c:pt idx="2">
                  <c:v>-3.75</c:v>
                </c:pt>
                <c:pt idx="3">
                  <c:v>-3.625</c:v>
                </c:pt>
                <c:pt idx="4">
                  <c:v>-3.5</c:v>
                </c:pt>
                <c:pt idx="5">
                  <c:v>-3.375</c:v>
                </c:pt>
                <c:pt idx="6">
                  <c:v>-3.25</c:v>
                </c:pt>
                <c:pt idx="7">
                  <c:v>-3.125</c:v>
                </c:pt>
                <c:pt idx="8">
                  <c:v>-3</c:v>
                </c:pt>
                <c:pt idx="9">
                  <c:v>-2.875</c:v>
                </c:pt>
                <c:pt idx="10">
                  <c:v>-2.75</c:v>
                </c:pt>
                <c:pt idx="11">
                  <c:v>-2.625</c:v>
                </c:pt>
                <c:pt idx="12">
                  <c:v>-2.5</c:v>
                </c:pt>
                <c:pt idx="13">
                  <c:v>-2.375</c:v>
                </c:pt>
                <c:pt idx="14">
                  <c:v>-2.25</c:v>
                </c:pt>
                <c:pt idx="15">
                  <c:v>-2.125</c:v>
                </c:pt>
                <c:pt idx="16">
                  <c:v>-2</c:v>
                </c:pt>
                <c:pt idx="17">
                  <c:v>-1.875</c:v>
                </c:pt>
                <c:pt idx="18">
                  <c:v>-1.75</c:v>
                </c:pt>
                <c:pt idx="19">
                  <c:v>-1.625</c:v>
                </c:pt>
                <c:pt idx="20">
                  <c:v>-1.5</c:v>
                </c:pt>
                <c:pt idx="21">
                  <c:v>-1.375</c:v>
                </c:pt>
                <c:pt idx="22">
                  <c:v>-1.25</c:v>
                </c:pt>
                <c:pt idx="23">
                  <c:v>-1.125</c:v>
                </c:pt>
                <c:pt idx="24">
                  <c:v>-1</c:v>
                </c:pt>
                <c:pt idx="25">
                  <c:v>-0.875</c:v>
                </c:pt>
                <c:pt idx="26">
                  <c:v>-0.75</c:v>
                </c:pt>
                <c:pt idx="27">
                  <c:v>-0.625</c:v>
                </c:pt>
                <c:pt idx="28">
                  <c:v>-0.5</c:v>
                </c:pt>
                <c:pt idx="29">
                  <c:v>-0.375</c:v>
                </c:pt>
                <c:pt idx="30">
                  <c:v>-0.25</c:v>
                </c:pt>
                <c:pt idx="31">
                  <c:v>-0.125</c:v>
                </c:pt>
                <c:pt idx="32">
                  <c:v>0</c:v>
                </c:pt>
                <c:pt idx="33">
                  <c:v>0.125</c:v>
                </c:pt>
                <c:pt idx="34">
                  <c:v>0.25</c:v>
                </c:pt>
                <c:pt idx="35">
                  <c:v>0.375</c:v>
                </c:pt>
                <c:pt idx="36">
                  <c:v>0.5</c:v>
                </c:pt>
                <c:pt idx="37">
                  <c:v>0.625</c:v>
                </c:pt>
                <c:pt idx="38">
                  <c:v>0.75</c:v>
                </c:pt>
                <c:pt idx="39">
                  <c:v>0.875</c:v>
                </c:pt>
                <c:pt idx="40">
                  <c:v>1</c:v>
                </c:pt>
                <c:pt idx="41">
                  <c:v>1.125</c:v>
                </c:pt>
                <c:pt idx="42">
                  <c:v>1.25</c:v>
                </c:pt>
                <c:pt idx="43">
                  <c:v>1.375</c:v>
                </c:pt>
                <c:pt idx="44">
                  <c:v>1.5</c:v>
                </c:pt>
                <c:pt idx="45">
                  <c:v>1.625</c:v>
                </c:pt>
                <c:pt idx="46">
                  <c:v>1.75</c:v>
                </c:pt>
                <c:pt idx="47">
                  <c:v>1.875</c:v>
                </c:pt>
                <c:pt idx="48">
                  <c:v>2</c:v>
                </c:pt>
                <c:pt idx="49">
                  <c:v>2.125</c:v>
                </c:pt>
                <c:pt idx="50">
                  <c:v>2.25</c:v>
                </c:pt>
                <c:pt idx="51">
                  <c:v>2.375</c:v>
                </c:pt>
                <c:pt idx="52">
                  <c:v>2.5</c:v>
                </c:pt>
                <c:pt idx="53">
                  <c:v>2.625</c:v>
                </c:pt>
                <c:pt idx="54">
                  <c:v>2.75</c:v>
                </c:pt>
                <c:pt idx="55">
                  <c:v>2.875</c:v>
                </c:pt>
                <c:pt idx="56">
                  <c:v>3</c:v>
                </c:pt>
                <c:pt idx="57">
                  <c:v>3.125</c:v>
                </c:pt>
                <c:pt idx="58">
                  <c:v>3.25</c:v>
                </c:pt>
                <c:pt idx="59">
                  <c:v>3.375</c:v>
                </c:pt>
                <c:pt idx="60">
                  <c:v>3.5</c:v>
                </c:pt>
                <c:pt idx="61">
                  <c:v>3.625</c:v>
                </c:pt>
                <c:pt idx="62">
                  <c:v>3.75</c:v>
                </c:pt>
                <c:pt idx="63">
                  <c:v>3.875</c:v>
                </c:pt>
                <c:pt idx="64">
                  <c:v>4</c:v>
                </c:pt>
              </c:numCache>
            </c:numRef>
          </c:xVal>
          <c:yVal>
            <c:numRef>
              <c:f>Sheet1!$F$2:$F$66</c:f>
              <c:numCache>
                <c:formatCode>General</c:formatCode>
                <c:ptCount val="65"/>
                <c:pt idx="0">
                  <c:v>0.000822474300133139</c:v>
                </c:pt>
                <c:pt idx="1">
                  <c:v>0.00110039555573346</c:v>
                </c:pt>
                <c:pt idx="2">
                  <c:v>0.00147026337362442</c:v>
                </c:pt>
                <c:pt idx="3">
                  <c:v>0.00196115221098651</c:v>
                </c:pt>
                <c:pt idx="4">
                  <c:v>0.00261057722759635</c:v>
                </c:pt>
                <c:pt idx="5">
                  <c:v>0.00346656210719877</c:v>
                </c:pt>
                <c:pt idx="6">
                  <c:v>0.00459002859982249</c:v>
                </c:pt>
                <c:pt idx="7">
                  <c:v>0.00605746664204048</c:v>
                </c:pt>
                <c:pt idx="8">
                  <c:v>0.00796378664618066</c:v>
                </c:pt>
                <c:pt idx="9">
                  <c:v>0.0104251753693731</c:v>
                </c:pt>
                <c:pt idx="10">
                  <c:v>0.0135816715308245</c:v>
                </c:pt>
                <c:pt idx="11">
                  <c:v>0.017599048286917</c:v>
                </c:pt>
                <c:pt idx="12">
                  <c:v>0.0226694437191449</c:v>
                </c:pt>
                <c:pt idx="13">
                  <c:v>0.0290100328282257</c:v>
                </c:pt>
                <c:pt idx="14">
                  <c:v>0.0368589110049578</c:v>
                </c:pt>
                <c:pt idx="15">
                  <c:v>0.046467297355627</c:v>
                </c:pt>
                <c:pt idx="16">
                  <c:v>0.058087215247357</c:v>
                </c:pt>
                <c:pt idx="17">
                  <c:v>0.0719540215735576</c:v>
                </c:pt>
                <c:pt idx="18">
                  <c:v>0.0882635859151642</c:v>
                </c:pt>
                <c:pt idx="19">
                  <c:v>0.107144596552046</c:v>
                </c:pt>
                <c:pt idx="20">
                  <c:v>0.128627382972146</c:v>
                </c:pt>
                <c:pt idx="21">
                  <c:v>0.152611724831597</c:v>
                </c:pt>
                <c:pt idx="22">
                  <c:v>0.178837221606673</c:v>
                </c:pt>
                <c:pt idx="23">
                  <c:v>0.206860707960146</c:v>
                </c:pt>
                <c:pt idx="24">
                  <c:v>0.236045649126701</c:v>
                </c:pt>
                <c:pt idx="25">
                  <c:v>0.265568170306444</c:v>
                </c:pt>
                <c:pt idx="26">
                  <c:v>0.294443169431178</c:v>
                </c:pt>
                <c:pt idx="27">
                  <c:v>0.321571794165692</c:v>
                </c:pt>
                <c:pt idx="28">
                  <c:v>0.345808612383742</c:v>
                </c:pt>
                <c:pt idx="29">
                  <c:v>0.366043491411426</c:v>
                </c:pt>
                <c:pt idx="30">
                  <c:v>0.381290137691958</c:v>
                </c:pt>
                <c:pt idx="31">
                  <c:v>0.390771119427721</c:v>
                </c:pt>
                <c:pt idx="32">
                  <c:v>0.393988585711432</c:v>
                </c:pt>
                <c:pt idx="33">
                  <c:v>0.390771119427721</c:v>
                </c:pt>
                <c:pt idx="34">
                  <c:v>0.381290137691958</c:v>
                </c:pt>
                <c:pt idx="35">
                  <c:v>0.366043491411426</c:v>
                </c:pt>
                <c:pt idx="36">
                  <c:v>0.345808612383742</c:v>
                </c:pt>
                <c:pt idx="37">
                  <c:v>0.321571794165692</c:v>
                </c:pt>
                <c:pt idx="38">
                  <c:v>0.294443169431178</c:v>
                </c:pt>
                <c:pt idx="39">
                  <c:v>0.265568170306444</c:v>
                </c:pt>
                <c:pt idx="40">
                  <c:v>0.236045649126701</c:v>
                </c:pt>
                <c:pt idx="41">
                  <c:v>0.206860707960146</c:v>
                </c:pt>
                <c:pt idx="42">
                  <c:v>0.178837221606673</c:v>
                </c:pt>
                <c:pt idx="43">
                  <c:v>0.152611724831597</c:v>
                </c:pt>
                <c:pt idx="44">
                  <c:v>0.128627382972146</c:v>
                </c:pt>
                <c:pt idx="45">
                  <c:v>0.107144596552046</c:v>
                </c:pt>
                <c:pt idx="46">
                  <c:v>0.0882635859151642</c:v>
                </c:pt>
                <c:pt idx="47">
                  <c:v>0.0719540215735576</c:v>
                </c:pt>
                <c:pt idx="48">
                  <c:v>0.058087215247357</c:v>
                </c:pt>
                <c:pt idx="49">
                  <c:v>0.046467297355627</c:v>
                </c:pt>
                <c:pt idx="50">
                  <c:v>0.0368589110049578</c:v>
                </c:pt>
                <c:pt idx="51">
                  <c:v>0.0290100328282257</c:v>
                </c:pt>
                <c:pt idx="52">
                  <c:v>0.0226694437191449</c:v>
                </c:pt>
                <c:pt idx="53">
                  <c:v>0.017599048286917</c:v>
                </c:pt>
                <c:pt idx="54">
                  <c:v>0.0135816715308245</c:v>
                </c:pt>
                <c:pt idx="55">
                  <c:v>0.0104251753693731</c:v>
                </c:pt>
                <c:pt idx="56">
                  <c:v>0.00796378664618066</c:v>
                </c:pt>
                <c:pt idx="57">
                  <c:v>0.00605746664204048</c:v>
                </c:pt>
                <c:pt idx="58">
                  <c:v>0.00459002859982249</c:v>
                </c:pt>
                <c:pt idx="59">
                  <c:v>0.00346656210719877</c:v>
                </c:pt>
                <c:pt idx="60">
                  <c:v>0.00261057722759635</c:v>
                </c:pt>
                <c:pt idx="61">
                  <c:v>0.00196115221098651</c:v>
                </c:pt>
                <c:pt idx="62">
                  <c:v>0.00147026337362442</c:v>
                </c:pt>
                <c:pt idx="63">
                  <c:v>0.00110039555573346</c:v>
                </c:pt>
                <c:pt idx="64">
                  <c:v>0.000822474300133139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df=30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Sheet1!$A$2:$A$66</c:f>
              <c:numCache>
                <c:formatCode>General</c:formatCode>
                <c:ptCount val="65"/>
                <c:pt idx="0">
                  <c:v>-4</c:v>
                </c:pt>
                <c:pt idx="1">
                  <c:v>-3.875</c:v>
                </c:pt>
                <c:pt idx="2">
                  <c:v>-3.75</c:v>
                </c:pt>
                <c:pt idx="3">
                  <c:v>-3.625</c:v>
                </c:pt>
                <c:pt idx="4">
                  <c:v>-3.5</c:v>
                </c:pt>
                <c:pt idx="5">
                  <c:v>-3.375</c:v>
                </c:pt>
                <c:pt idx="6">
                  <c:v>-3.25</c:v>
                </c:pt>
                <c:pt idx="7">
                  <c:v>-3.125</c:v>
                </c:pt>
                <c:pt idx="8">
                  <c:v>-3</c:v>
                </c:pt>
                <c:pt idx="9">
                  <c:v>-2.875</c:v>
                </c:pt>
                <c:pt idx="10">
                  <c:v>-2.75</c:v>
                </c:pt>
                <c:pt idx="11">
                  <c:v>-2.625</c:v>
                </c:pt>
                <c:pt idx="12">
                  <c:v>-2.5</c:v>
                </c:pt>
                <c:pt idx="13">
                  <c:v>-2.375</c:v>
                </c:pt>
                <c:pt idx="14">
                  <c:v>-2.25</c:v>
                </c:pt>
                <c:pt idx="15">
                  <c:v>-2.125</c:v>
                </c:pt>
                <c:pt idx="16">
                  <c:v>-2</c:v>
                </c:pt>
                <c:pt idx="17">
                  <c:v>-1.875</c:v>
                </c:pt>
                <c:pt idx="18">
                  <c:v>-1.75</c:v>
                </c:pt>
                <c:pt idx="19">
                  <c:v>-1.625</c:v>
                </c:pt>
                <c:pt idx="20">
                  <c:v>-1.5</c:v>
                </c:pt>
                <c:pt idx="21">
                  <c:v>-1.375</c:v>
                </c:pt>
                <c:pt idx="22">
                  <c:v>-1.25</c:v>
                </c:pt>
                <c:pt idx="23">
                  <c:v>-1.125</c:v>
                </c:pt>
                <c:pt idx="24">
                  <c:v>-1</c:v>
                </c:pt>
                <c:pt idx="25">
                  <c:v>-0.875</c:v>
                </c:pt>
                <c:pt idx="26">
                  <c:v>-0.75</c:v>
                </c:pt>
                <c:pt idx="27">
                  <c:v>-0.625</c:v>
                </c:pt>
                <c:pt idx="28">
                  <c:v>-0.5</c:v>
                </c:pt>
                <c:pt idx="29">
                  <c:v>-0.375</c:v>
                </c:pt>
                <c:pt idx="30">
                  <c:v>-0.25</c:v>
                </c:pt>
                <c:pt idx="31">
                  <c:v>-0.125</c:v>
                </c:pt>
                <c:pt idx="32">
                  <c:v>0</c:v>
                </c:pt>
                <c:pt idx="33">
                  <c:v>0.125</c:v>
                </c:pt>
                <c:pt idx="34">
                  <c:v>0.25</c:v>
                </c:pt>
                <c:pt idx="35">
                  <c:v>0.375</c:v>
                </c:pt>
                <c:pt idx="36">
                  <c:v>0.5</c:v>
                </c:pt>
                <c:pt idx="37">
                  <c:v>0.625</c:v>
                </c:pt>
                <c:pt idx="38">
                  <c:v>0.75</c:v>
                </c:pt>
                <c:pt idx="39">
                  <c:v>0.875</c:v>
                </c:pt>
                <c:pt idx="40">
                  <c:v>1</c:v>
                </c:pt>
                <c:pt idx="41">
                  <c:v>1.125</c:v>
                </c:pt>
                <c:pt idx="42">
                  <c:v>1.25</c:v>
                </c:pt>
                <c:pt idx="43">
                  <c:v>1.375</c:v>
                </c:pt>
                <c:pt idx="44">
                  <c:v>1.5</c:v>
                </c:pt>
                <c:pt idx="45">
                  <c:v>1.625</c:v>
                </c:pt>
                <c:pt idx="46">
                  <c:v>1.75</c:v>
                </c:pt>
                <c:pt idx="47">
                  <c:v>1.875</c:v>
                </c:pt>
                <c:pt idx="48">
                  <c:v>2</c:v>
                </c:pt>
                <c:pt idx="49">
                  <c:v>2.125</c:v>
                </c:pt>
                <c:pt idx="50">
                  <c:v>2.25</c:v>
                </c:pt>
                <c:pt idx="51">
                  <c:v>2.375</c:v>
                </c:pt>
                <c:pt idx="52">
                  <c:v>2.5</c:v>
                </c:pt>
                <c:pt idx="53">
                  <c:v>2.625</c:v>
                </c:pt>
                <c:pt idx="54">
                  <c:v>2.75</c:v>
                </c:pt>
                <c:pt idx="55">
                  <c:v>2.875</c:v>
                </c:pt>
                <c:pt idx="56">
                  <c:v>3</c:v>
                </c:pt>
                <c:pt idx="57">
                  <c:v>3.125</c:v>
                </c:pt>
                <c:pt idx="58">
                  <c:v>3.25</c:v>
                </c:pt>
                <c:pt idx="59">
                  <c:v>3.375</c:v>
                </c:pt>
                <c:pt idx="60">
                  <c:v>3.5</c:v>
                </c:pt>
                <c:pt idx="61">
                  <c:v>3.625</c:v>
                </c:pt>
                <c:pt idx="62">
                  <c:v>3.75</c:v>
                </c:pt>
                <c:pt idx="63">
                  <c:v>3.875</c:v>
                </c:pt>
                <c:pt idx="64">
                  <c:v>4</c:v>
                </c:pt>
              </c:numCache>
            </c:numRef>
          </c:xVal>
          <c:yVal>
            <c:numRef>
              <c:f>Sheet1!$G$2:$G$66</c:f>
              <c:numCache>
                <c:formatCode>General</c:formatCode>
                <c:ptCount val="65"/>
                <c:pt idx="0">
                  <c:v>0.000524716440197409</c:v>
                </c:pt>
                <c:pt idx="1">
                  <c:v>0.000733736554500224</c:v>
                </c:pt>
                <c:pt idx="2">
                  <c:v>0.00102234971536371</c:v>
                </c:pt>
                <c:pt idx="3">
                  <c:v>0.00141883324657218</c:v>
                </c:pt>
                <c:pt idx="4">
                  <c:v>0.0019604555808021</c:v>
                </c:pt>
                <c:pt idx="5">
                  <c:v>0.00269581636733655</c:v>
                </c:pt>
                <c:pt idx="6">
                  <c:v>0.00368755064264366</c:v>
                </c:pt>
                <c:pt idx="7">
                  <c:v>0.00501533521764475</c:v>
                </c:pt>
                <c:pt idx="8">
                  <c:v>0.0067790627460931</c:v>
                </c:pt>
                <c:pt idx="9">
                  <c:v>0.00910195093205638</c:v>
                </c:pt>
                <c:pt idx="10">
                  <c:v>0.01213323132656</c:v>
                </c:pt>
                <c:pt idx="11">
                  <c:v>0.0160499195421959</c:v>
                </c:pt>
                <c:pt idx="12">
                  <c:v>0.0210570192206216</c:v>
                </c:pt>
                <c:pt idx="13">
                  <c:v>0.0273853778553027</c:v>
                </c:pt>
                <c:pt idx="14">
                  <c:v>0.0352863261773749</c:v>
                </c:pt>
                <c:pt idx="15">
                  <c:v>0.0450222363318057</c:v>
                </c:pt>
                <c:pt idx="16">
                  <c:v>0.056852275047198</c:v>
                </c:pt>
                <c:pt idx="17">
                  <c:v>0.0710129514595371</c:v>
                </c:pt>
                <c:pt idx="18">
                  <c:v>0.0876935955819216</c:v>
                </c:pt>
                <c:pt idx="19">
                  <c:v>0.107007653218951</c:v>
                </c:pt>
                <c:pt idx="20">
                  <c:v>0.128961601739672</c:v>
                </c:pt>
                <c:pt idx="21">
                  <c:v>0.153424277310708</c:v>
                </c:pt>
                <c:pt idx="22">
                  <c:v>0.180100298630059</c:v>
                </c:pt>
                <c:pt idx="23">
                  <c:v>0.208511871109227</c:v>
                </c:pt>
                <c:pt idx="24">
                  <c:v>0.237993342322879</c:v>
                </c:pt>
                <c:pt idx="25">
                  <c:v>0.267702273320424</c:v>
                </c:pt>
                <c:pt idx="26">
                  <c:v>0.296649402107909</c:v>
                </c:pt>
                <c:pt idx="27">
                  <c:v>0.323747759532589</c:v>
                </c:pt>
                <c:pt idx="28">
                  <c:v>0.347878579697205</c:v>
                </c:pt>
                <c:pt idx="29">
                  <c:v>0.367968913863115</c:v>
                </c:pt>
                <c:pt idx="30">
                  <c:v>0.383073500256561</c:v>
                </c:pt>
                <c:pt idx="31">
                  <c:v>0.392451961452798</c:v>
                </c:pt>
                <c:pt idx="32">
                  <c:v>0.395632184894098</c:v>
                </c:pt>
                <c:pt idx="33">
                  <c:v>0.392451961452798</c:v>
                </c:pt>
                <c:pt idx="34">
                  <c:v>0.383073500256561</c:v>
                </c:pt>
                <c:pt idx="35">
                  <c:v>0.367968913863115</c:v>
                </c:pt>
                <c:pt idx="36">
                  <c:v>0.347878579697205</c:v>
                </c:pt>
                <c:pt idx="37">
                  <c:v>0.323747759532589</c:v>
                </c:pt>
                <c:pt idx="38">
                  <c:v>0.296649402107909</c:v>
                </c:pt>
                <c:pt idx="39">
                  <c:v>0.267702273320424</c:v>
                </c:pt>
                <c:pt idx="40">
                  <c:v>0.237993342322879</c:v>
                </c:pt>
                <c:pt idx="41">
                  <c:v>0.208511871109227</c:v>
                </c:pt>
                <c:pt idx="42">
                  <c:v>0.180100298630059</c:v>
                </c:pt>
                <c:pt idx="43">
                  <c:v>0.153424277310708</c:v>
                </c:pt>
                <c:pt idx="44">
                  <c:v>0.128961601739672</c:v>
                </c:pt>
                <c:pt idx="45">
                  <c:v>0.107007653218951</c:v>
                </c:pt>
                <c:pt idx="46">
                  <c:v>0.0876935955819216</c:v>
                </c:pt>
                <c:pt idx="47">
                  <c:v>0.0710129514595371</c:v>
                </c:pt>
                <c:pt idx="48">
                  <c:v>0.056852275047198</c:v>
                </c:pt>
                <c:pt idx="49">
                  <c:v>0.0450222363318057</c:v>
                </c:pt>
                <c:pt idx="50">
                  <c:v>0.0352863261773749</c:v>
                </c:pt>
                <c:pt idx="51">
                  <c:v>0.0273853778553027</c:v>
                </c:pt>
                <c:pt idx="52">
                  <c:v>0.0210570192206216</c:v>
                </c:pt>
                <c:pt idx="53">
                  <c:v>0.0160499195421959</c:v>
                </c:pt>
                <c:pt idx="54">
                  <c:v>0.01213323132656</c:v>
                </c:pt>
                <c:pt idx="55">
                  <c:v>0.00910195093205638</c:v>
                </c:pt>
                <c:pt idx="56">
                  <c:v>0.0067790627460931</c:v>
                </c:pt>
                <c:pt idx="57">
                  <c:v>0.00501533521764475</c:v>
                </c:pt>
                <c:pt idx="58">
                  <c:v>0.00368755064264366</c:v>
                </c:pt>
                <c:pt idx="59">
                  <c:v>0.00269581636733655</c:v>
                </c:pt>
                <c:pt idx="60">
                  <c:v>0.0019604555808021</c:v>
                </c:pt>
                <c:pt idx="61">
                  <c:v>0.00141883324657218</c:v>
                </c:pt>
                <c:pt idx="62">
                  <c:v>0.00102234971536371</c:v>
                </c:pt>
                <c:pt idx="63">
                  <c:v>0.000733736554500224</c:v>
                </c:pt>
                <c:pt idx="64">
                  <c:v>0.000524716440197409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df=infinity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Sheet1!$A$2:$A$66</c:f>
              <c:numCache>
                <c:formatCode>General</c:formatCode>
                <c:ptCount val="65"/>
                <c:pt idx="0">
                  <c:v>-4</c:v>
                </c:pt>
                <c:pt idx="1">
                  <c:v>-3.875</c:v>
                </c:pt>
                <c:pt idx="2">
                  <c:v>-3.75</c:v>
                </c:pt>
                <c:pt idx="3">
                  <c:v>-3.625</c:v>
                </c:pt>
                <c:pt idx="4">
                  <c:v>-3.5</c:v>
                </c:pt>
                <c:pt idx="5">
                  <c:v>-3.375</c:v>
                </c:pt>
                <c:pt idx="6">
                  <c:v>-3.25</c:v>
                </c:pt>
                <c:pt idx="7">
                  <c:v>-3.125</c:v>
                </c:pt>
                <c:pt idx="8">
                  <c:v>-3</c:v>
                </c:pt>
                <c:pt idx="9">
                  <c:v>-2.875</c:v>
                </c:pt>
                <c:pt idx="10">
                  <c:v>-2.75</c:v>
                </c:pt>
                <c:pt idx="11">
                  <c:v>-2.625</c:v>
                </c:pt>
                <c:pt idx="12">
                  <c:v>-2.5</c:v>
                </c:pt>
                <c:pt idx="13">
                  <c:v>-2.375</c:v>
                </c:pt>
                <c:pt idx="14">
                  <c:v>-2.25</c:v>
                </c:pt>
                <c:pt idx="15">
                  <c:v>-2.125</c:v>
                </c:pt>
                <c:pt idx="16">
                  <c:v>-2</c:v>
                </c:pt>
                <c:pt idx="17">
                  <c:v>-1.875</c:v>
                </c:pt>
                <c:pt idx="18">
                  <c:v>-1.75</c:v>
                </c:pt>
                <c:pt idx="19">
                  <c:v>-1.625</c:v>
                </c:pt>
                <c:pt idx="20">
                  <c:v>-1.5</c:v>
                </c:pt>
                <c:pt idx="21">
                  <c:v>-1.375</c:v>
                </c:pt>
                <c:pt idx="22">
                  <c:v>-1.25</c:v>
                </c:pt>
                <c:pt idx="23">
                  <c:v>-1.125</c:v>
                </c:pt>
                <c:pt idx="24">
                  <c:v>-1</c:v>
                </c:pt>
                <c:pt idx="25">
                  <c:v>-0.875</c:v>
                </c:pt>
                <c:pt idx="26">
                  <c:v>-0.75</c:v>
                </c:pt>
                <c:pt idx="27">
                  <c:v>-0.625</c:v>
                </c:pt>
                <c:pt idx="28">
                  <c:v>-0.5</c:v>
                </c:pt>
                <c:pt idx="29">
                  <c:v>-0.375</c:v>
                </c:pt>
                <c:pt idx="30">
                  <c:v>-0.25</c:v>
                </c:pt>
                <c:pt idx="31">
                  <c:v>-0.125</c:v>
                </c:pt>
                <c:pt idx="32">
                  <c:v>0</c:v>
                </c:pt>
                <c:pt idx="33">
                  <c:v>0.125</c:v>
                </c:pt>
                <c:pt idx="34">
                  <c:v>0.25</c:v>
                </c:pt>
                <c:pt idx="35">
                  <c:v>0.375</c:v>
                </c:pt>
                <c:pt idx="36">
                  <c:v>0.5</c:v>
                </c:pt>
                <c:pt idx="37">
                  <c:v>0.625</c:v>
                </c:pt>
                <c:pt idx="38">
                  <c:v>0.75</c:v>
                </c:pt>
                <c:pt idx="39">
                  <c:v>0.875</c:v>
                </c:pt>
                <c:pt idx="40">
                  <c:v>1</c:v>
                </c:pt>
                <c:pt idx="41">
                  <c:v>1.125</c:v>
                </c:pt>
                <c:pt idx="42">
                  <c:v>1.25</c:v>
                </c:pt>
                <c:pt idx="43">
                  <c:v>1.375</c:v>
                </c:pt>
                <c:pt idx="44">
                  <c:v>1.5</c:v>
                </c:pt>
                <c:pt idx="45">
                  <c:v>1.625</c:v>
                </c:pt>
                <c:pt idx="46">
                  <c:v>1.75</c:v>
                </c:pt>
                <c:pt idx="47">
                  <c:v>1.875</c:v>
                </c:pt>
                <c:pt idx="48">
                  <c:v>2</c:v>
                </c:pt>
                <c:pt idx="49">
                  <c:v>2.125</c:v>
                </c:pt>
                <c:pt idx="50">
                  <c:v>2.25</c:v>
                </c:pt>
                <c:pt idx="51">
                  <c:v>2.375</c:v>
                </c:pt>
                <c:pt idx="52">
                  <c:v>2.5</c:v>
                </c:pt>
                <c:pt idx="53">
                  <c:v>2.625</c:v>
                </c:pt>
                <c:pt idx="54">
                  <c:v>2.75</c:v>
                </c:pt>
                <c:pt idx="55">
                  <c:v>2.875</c:v>
                </c:pt>
                <c:pt idx="56">
                  <c:v>3</c:v>
                </c:pt>
                <c:pt idx="57">
                  <c:v>3.125</c:v>
                </c:pt>
                <c:pt idx="58">
                  <c:v>3.25</c:v>
                </c:pt>
                <c:pt idx="59">
                  <c:v>3.375</c:v>
                </c:pt>
                <c:pt idx="60">
                  <c:v>3.5</c:v>
                </c:pt>
                <c:pt idx="61">
                  <c:v>3.625</c:v>
                </c:pt>
                <c:pt idx="62">
                  <c:v>3.75</c:v>
                </c:pt>
                <c:pt idx="63">
                  <c:v>3.875</c:v>
                </c:pt>
                <c:pt idx="64">
                  <c:v>4</c:v>
                </c:pt>
              </c:numCache>
            </c:numRef>
          </c:xVal>
          <c:yVal>
            <c:numRef>
              <c:f>Sheet1!$H$2:$H$66</c:f>
              <c:numCache>
                <c:formatCode>General</c:formatCode>
                <c:ptCount val="65"/>
                <c:pt idx="0">
                  <c:v>0.000133830225764885</c:v>
                </c:pt>
                <c:pt idx="1">
                  <c:v>0.000218931637764612</c:v>
                </c:pt>
                <c:pt idx="2">
                  <c:v>0.000352595682367445</c:v>
                </c:pt>
                <c:pt idx="3">
                  <c:v>0.000559061522232165</c:v>
                </c:pt>
                <c:pt idx="4">
                  <c:v>0.00087268269504576</c:v>
                </c:pt>
                <c:pt idx="5">
                  <c:v>0.00134111887349038</c:v>
                </c:pt>
                <c:pt idx="6">
                  <c:v>0.00202904805729977</c:v>
                </c:pt>
                <c:pt idx="7">
                  <c:v>0.00302225803519876</c:v>
                </c:pt>
                <c:pt idx="8">
                  <c:v>0.00443184841193801</c:v>
                </c:pt>
                <c:pt idx="9">
                  <c:v>0.00639812031072356</c:v>
                </c:pt>
                <c:pt idx="10">
                  <c:v>0.00909356250159105</c:v>
                </c:pt>
                <c:pt idx="11">
                  <c:v>0.0127241815968314</c:v>
                </c:pt>
                <c:pt idx="12">
                  <c:v>0.0175283004935685</c:v>
                </c:pt>
                <c:pt idx="13">
                  <c:v>0.0237719008299138</c:v>
                </c:pt>
                <c:pt idx="14">
                  <c:v>0.0317396518356674</c:v>
                </c:pt>
                <c:pt idx="15">
                  <c:v>0.0417209852563386</c:v>
                </c:pt>
                <c:pt idx="16">
                  <c:v>0.0539909665131881</c:v>
                </c:pt>
                <c:pt idx="17">
                  <c:v>0.0687862758266919</c:v>
                </c:pt>
                <c:pt idx="18">
                  <c:v>0.0862773188265115</c:v>
                </c:pt>
                <c:pt idx="19">
                  <c:v>0.106538268130585</c:v>
                </c:pt>
                <c:pt idx="20">
                  <c:v>0.129517595665892</c:v>
                </c:pt>
                <c:pt idx="21">
                  <c:v>0.155012265458293</c:v>
                </c:pt>
                <c:pt idx="22">
                  <c:v>0.182649085389022</c:v>
                </c:pt>
                <c:pt idx="23">
                  <c:v>0.211876645775699</c:v>
                </c:pt>
                <c:pt idx="24">
                  <c:v>0.241970724519143</c:v>
                </c:pt>
                <c:pt idx="25">
                  <c:v>0.272054998378543</c:v>
                </c:pt>
                <c:pt idx="26">
                  <c:v>0.301137432154804</c:v>
                </c:pt>
                <c:pt idx="27">
                  <c:v>0.328160968550375</c:v>
                </c:pt>
                <c:pt idx="28">
                  <c:v>0.3520653267643</c:v>
                </c:pt>
                <c:pt idx="29">
                  <c:v>0.371855093869769</c:v>
                </c:pt>
                <c:pt idx="30">
                  <c:v>0.386668116802849</c:v>
                </c:pt>
                <c:pt idx="31">
                  <c:v>0.39583768694475</c:v>
                </c:pt>
                <c:pt idx="32">
                  <c:v>0.398942280401433</c:v>
                </c:pt>
                <c:pt idx="33">
                  <c:v>0.39583768694475</c:v>
                </c:pt>
                <c:pt idx="34">
                  <c:v>0.386668116802849</c:v>
                </c:pt>
                <c:pt idx="35">
                  <c:v>0.371855093869769</c:v>
                </c:pt>
                <c:pt idx="36">
                  <c:v>0.3520653267643</c:v>
                </c:pt>
                <c:pt idx="37">
                  <c:v>0.328160968550375</c:v>
                </c:pt>
                <c:pt idx="38">
                  <c:v>0.301137432154804</c:v>
                </c:pt>
                <c:pt idx="39">
                  <c:v>0.272054998378543</c:v>
                </c:pt>
                <c:pt idx="40">
                  <c:v>0.241970724519143</c:v>
                </c:pt>
                <c:pt idx="41">
                  <c:v>0.211876645775699</c:v>
                </c:pt>
                <c:pt idx="42">
                  <c:v>0.182649085389022</c:v>
                </c:pt>
                <c:pt idx="43">
                  <c:v>0.155012265458293</c:v>
                </c:pt>
                <c:pt idx="44">
                  <c:v>0.129517595665892</c:v>
                </c:pt>
                <c:pt idx="45">
                  <c:v>0.106538268130585</c:v>
                </c:pt>
                <c:pt idx="46">
                  <c:v>0.0862773188265115</c:v>
                </c:pt>
                <c:pt idx="47">
                  <c:v>0.0687862758266919</c:v>
                </c:pt>
                <c:pt idx="48">
                  <c:v>0.0539909665131881</c:v>
                </c:pt>
                <c:pt idx="49">
                  <c:v>0.0417209852563386</c:v>
                </c:pt>
                <c:pt idx="50">
                  <c:v>0.0317396518356674</c:v>
                </c:pt>
                <c:pt idx="51">
                  <c:v>0.0237719008299138</c:v>
                </c:pt>
                <c:pt idx="52">
                  <c:v>0.0175283004935685</c:v>
                </c:pt>
                <c:pt idx="53">
                  <c:v>0.0127241815968314</c:v>
                </c:pt>
                <c:pt idx="54">
                  <c:v>0.00909356250159105</c:v>
                </c:pt>
                <c:pt idx="55">
                  <c:v>0.00639812031072356</c:v>
                </c:pt>
                <c:pt idx="56">
                  <c:v>0.00443184841193801</c:v>
                </c:pt>
                <c:pt idx="57">
                  <c:v>0.00302225803519876</c:v>
                </c:pt>
                <c:pt idx="58">
                  <c:v>0.00202904805729977</c:v>
                </c:pt>
                <c:pt idx="59">
                  <c:v>0.00134111887349038</c:v>
                </c:pt>
                <c:pt idx="60">
                  <c:v>0.00087268269504576</c:v>
                </c:pt>
                <c:pt idx="61">
                  <c:v>0.000559061522232165</c:v>
                </c:pt>
                <c:pt idx="62">
                  <c:v>0.000352595682367445</c:v>
                </c:pt>
                <c:pt idx="63">
                  <c:v>0.000218931637764612</c:v>
                </c:pt>
                <c:pt idx="64">
                  <c:v>0.000133830225764885</c:v>
                </c:pt>
              </c:numCache>
            </c:numRef>
          </c:yVal>
          <c:smooth val="0"/>
        </c:ser>
        <c:axId val="49835814"/>
        <c:axId val="57751037"/>
      </c:scatterChart>
      <c:valAx>
        <c:axId val="49835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7751037"/>
        <c:crosses val="autoZero"/>
        <c:crossBetween val="midCat"/>
      </c:valAx>
      <c:valAx>
        <c:axId val="5775103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983581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343800</xdr:colOff>
      <xdr:row>1</xdr:row>
      <xdr:rowOff>41400</xdr:rowOff>
    </xdr:from>
    <xdr:to>
      <xdr:col>15</xdr:col>
      <xdr:colOff>414000</xdr:colOff>
      <xdr:row>21</xdr:row>
      <xdr:rowOff>29880</xdr:rowOff>
    </xdr:to>
    <xdr:graphicFrame>
      <xdr:nvGraphicFramePr>
        <xdr:cNvPr id="0" name=""/>
        <xdr:cNvGraphicFramePr/>
      </xdr:nvGraphicFramePr>
      <xdr:xfrm>
        <a:off x="6846120" y="203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2" activeCellId="0" sqref="M32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-4</v>
      </c>
      <c r="B2" s="0" t="n">
        <f aca="false">_xlfn.T.DIST(A2,1,0)</f>
        <v>0.0187241109519877</v>
      </c>
      <c r="C2" s="0" t="n">
        <f aca="false">_xlfn.T.DIST(A2,2,0)</f>
        <v>0.0130945700219731</v>
      </c>
      <c r="D2" s="0" t="n">
        <f aca="false">_xlfn.T.DIST(A2,3,0)</f>
        <v>0.00916336114274447</v>
      </c>
      <c r="E2" s="0" t="n">
        <f aca="false">_xlfn.T.DIST(A2,10,0)</f>
        <v>0.00203103391104122</v>
      </c>
      <c r="F2" s="0" t="n">
        <f aca="false">_xlfn.T.DIST(A2,20,0)</f>
        <v>0.000822474300133139</v>
      </c>
      <c r="G2" s="0" t="n">
        <f aca="false">_xlfn.T.DIST(A2,30,0)</f>
        <v>0.000524716440197409</v>
      </c>
      <c r="H2" s="0" t="n">
        <f aca="false">_xlfn.NORM.DIST(A2,0,1,0)</f>
        <v>0.000133830225764885</v>
      </c>
    </row>
    <row r="3" customFormat="false" ht="12.8" hidden="false" customHeight="false" outlineLevel="0" collapsed="false">
      <c r="A3" s="0" t="n">
        <f aca="false">A2+1/8</f>
        <v>-3.875</v>
      </c>
      <c r="B3" s="0" t="n">
        <f aca="false">_xlfn.T.DIST(A3,1,0)</f>
        <v>0.0198749587470855</v>
      </c>
      <c r="C3" s="0" t="n">
        <f aca="false">_xlfn.T.DIST(A3,2,0)</f>
        <v>0.0142471547430225</v>
      </c>
      <c r="D3" s="0" t="n">
        <f aca="false">_xlfn.T.DIST(A3,3,0)</f>
        <v>0.0101920920754154</v>
      </c>
      <c r="E3" s="0" t="n">
        <f aca="false">_xlfn.T.DIST(A3,10,0)</f>
        <v>0.00251135506824631</v>
      </c>
      <c r="F3" s="0" t="n">
        <f aca="false">_xlfn.T.DIST(A3,20,0)</f>
        <v>0.00110039555573346</v>
      </c>
      <c r="G3" s="0" t="n">
        <f aca="false">_xlfn.T.DIST(A3,30,0)</f>
        <v>0.000733736554500224</v>
      </c>
      <c r="H3" s="0" t="n">
        <f aca="false">_xlfn.NORM.DIST(A3,0,1,0)</f>
        <v>0.000218931637764612</v>
      </c>
    </row>
    <row r="4" customFormat="false" ht="12.8" hidden="false" customHeight="false" outlineLevel="0" collapsed="false">
      <c r="A4" s="0" t="n">
        <f aca="false">A3+1/8</f>
        <v>-3.75</v>
      </c>
      <c r="B4" s="0" t="n">
        <f aca="false">_xlfn.T.DIST(A4,1,0)</f>
        <v>0.021132606551621</v>
      </c>
      <c r="C4" s="0" t="n">
        <f aca="false">_xlfn.T.DIST(A4,2,0)</f>
        <v>0.0155338922721072</v>
      </c>
      <c r="D4" s="0" t="n">
        <f aca="false">_xlfn.T.DIST(A4,3,0)</f>
        <v>0.0113625727350142</v>
      </c>
      <c r="E4" s="0" t="n">
        <f aca="false">_xlfn.T.DIST(A4,10,0)</f>
        <v>0.00310954238424345</v>
      </c>
      <c r="F4" s="0" t="n">
        <f aca="false">_xlfn.T.DIST(A4,20,0)</f>
        <v>0.00147026337362442</v>
      </c>
      <c r="G4" s="0" t="n">
        <f aca="false">_xlfn.T.DIST(A4,30,0)</f>
        <v>0.00102234971536371</v>
      </c>
      <c r="H4" s="0" t="n">
        <f aca="false">_xlfn.NORM.DIST(A4,0,1,0)</f>
        <v>0.000352595682367445</v>
      </c>
    </row>
    <row r="5" customFormat="false" ht="12.8" hidden="false" customHeight="false" outlineLevel="0" collapsed="false">
      <c r="A5" s="0" t="n">
        <f aca="false">A4+1/8</f>
        <v>-3.625</v>
      </c>
      <c r="B5" s="0" t="n">
        <f aca="false">_xlfn.T.DIST(A5,1,0)</f>
        <v>0.0225103123931079</v>
      </c>
      <c r="C5" s="0" t="n">
        <f aca="false">_xlfn.T.DIST(A5,2,0)</f>
        <v>0.016974003813006</v>
      </c>
      <c r="D5" s="0" t="n">
        <f aca="false">_xlfn.T.DIST(A5,3,0)</f>
        <v>0.0126975902983593</v>
      </c>
      <c r="E5" s="0" t="n">
        <f aca="false">_xlfn.T.DIST(A5,10,0)</f>
        <v>0.00385485124338714</v>
      </c>
      <c r="F5" s="0" t="n">
        <f aca="false">_xlfn.T.DIST(A5,20,0)</f>
        <v>0.00196115221098651</v>
      </c>
      <c r="G5" s="0" t="n">
        <f aca="false">_xlfn.T.DIST(A5,30,0)</f>
        <v>0.00141883324657218</v>
      </c>
      <c r="H5" s="0" t="n">
        <f aca="false">_xlfn.NORM.DIST(A5,0,1,0)</f>
        <v>0.000559061522232165</v>
      </c>
    </row>
    <row r="6" customFormat="false" ht="12.8" hidden="false" customHeight="false" outlineLevel="0" collapsed="false">
      <c r="A6" s="0" t="n">
        <f aca="false">A5+1/8</f>
        <v>-3.5</v>
      </c>
      <c r="B6" s="0" t="n">
        <f aca="false">_xlfn.T.DIST(A6,1,0)</f>
        <v>0.0240233876365125</v>
      </c>
      <c r="C6" s="0" t="n">
        <f aca="false">_xlfn.T.DIST(A6,2,0)</f>
        <v>0.0185899278184568</v>
      </c>
      <c r="D6" s="0" t="n">
        <f aca="false">_xlfn.T.DIST(A6,3,0)</f>
        <v>0.0142240188015297</v>
      </c>
      <c r="E6" s="0" t="n">
        <f aca="false">_xlfn.T.DIST(A6,10,0)</f>
        <v>0.00478360712670132</v>
      </c>
      <c r="F6" s="0" t="n">
        <f aca="false">_xlfn.T.DIST(A6,20,0)</f>
        <v>0.00261057722759635</v>
      </c>
      <c r="G6" s="0" t="n">
        <f aca="false">_xlfn.T.DIST(A6,30,0)</f>
        <v>0.0019604555808021</v>
      </c>
      <c r="H6" s="0" t="n">
        <f aca="false">_xlfn.NORM.DIST(A6,0,1,0)</f>
        <v>0.00087268269504576</v>
      </c>
    </row>
    <row r="7" customFormat="false" ht="12.8" hidden="false" customHeight="false" outlineLevel="0" collapsed="false">
      <c r="A7" s="0" t="n">
        <f aca="false">A6+1/8</f>
        <v>-3.375</v>
      </c>
      <c r="B7" s="0" t="n">
        <f aca="false">_xlfn.T.DIST(A7,1,0)</f>
        <v>0.0256895746730928</v>
      </c>
      <c r="C7" s="0" t="n">
        <f aca="false">_xlfn.T.DIST(A7,2,0)</f>
        <v>0.0204079192923454</v>
      </c>
      <c r="D7" s="0" t="n">
        <f aca="false">_xlfn.T.DIST(A7,3,0)</f>
        <v>0.0159735958694357</v>
      </c>
      <c r="E7" s="0" t="n">
        <f aca="false">_xlfn.T.DIST(A7,10,0)</f>
        <v>0.00594075279013212</v>
      </c>
      <c r="F7" s="0" t="n">
        <f aca="false">_xlfn.T.DIST(A7,20,0)</f>
        <v>0.00346656210719877</v>
      </c>
      <c r="G7" s="0" t="n">
        <f aca="false">_xlfn.T.DIST(A7,30,0)</f>
        <v>0.00269581636733655</v>
      </c>
      <c r="H7" s="0" t="n">
        <f aca="false">_xlfn.NORM.DIST(A7,0,1,0)</f>
        <v>0.00134111887349038</v>
      </c>
    </row>
    <row r="8" customFormat="false" ht="12.8" hidden="false" customHeight="false" outlineLevel="0" collapsed="false">
      <c r="A8" s="0" t="n">
        <f aca="false">A7+1/8</f>
        <v>-3.25</v>
      </c>
      <c r="B8" s="0" t="n">
        <f aca="false">_xlfn.T.DIST(A8,1,0)</f>
        <v>0.0275295036699495</v>
      </c>
      <c r="C8" s="0" t="n">
        <f aca="false">_xlfn.T.DIST(A8,2,0)</f>
        <v>0.0224587658780847</v>
      </c>
      <c r="D8" s="0" t="n">
        <f aca="false">_xlfn.T.DIST(A8,3,0)</f>
        <v>0.0179838430072389</v>
      </c>
      <c r="E8" s="0" t="n">
        <f aca="false">_xlfn.T.DIST(A8,10,0)</f>
        <v>0.00738164328675555</v>
      </c>
      <c r="F8" s="0" t="n">
        <f aca="false">_xlfn.T.DIST(A8,20,0)</f>
        <v>0.00459002859982249</v>
      </c>
      <c r="G8" s="0" t="n">
        <f aca="false">_xlfn.T.DIST(A8,30,0)</f>
        <v>0.00368755064264366</v>
      </c>
      <c r="H8" s="0" t="n">
        <f aca="false">_xlfn.NORM.DIST(A8,0,1,0)</f>
        <v>0.00202904805729977</v>
      </c>
    </row>
    <row r="9" customFormat="false" ht="12.8" hidden="false" customHeight="false" outlineLevel="0" collapsed="false">
      <c r="A9" s="0" t="n">
        <f aca="false">A8+1/8</f>
        <v>-3.125</v>
      </c>
      <c r="B9" s="0" t="n">
        <f aca="false">_xlfn.T.DIST(A9,1,0)</f>
        <v>0.0295672463218615</v>
      </c>
      <c r="C9" s="0" t="n">
        <f aca="false">_xlfn.T.DIST(A9,2,0)</f>
        <v>0.0247786417492995</v>
      </c>
      <c r="D9" s="0" t="n">
        <f aca="false">_xlfn.T.DIST(A9,3,0)</f>
        <v>0.020299149400044</v>
      </c>
      <c r="E9" s="0" t="n">
        <f aca="false">_xlfn.T.DIST(A9,10,0)</f>
        <v>0.00917408067846241</v>
      </c>
      <c r="F9" s="0" t="n">
        <f aca="false">_xlfn.T.DIST(A9,20,0)</f>
        <v>0.00605746664204048</v>
      </c>
      <c r="G9" s="0" t="n">
        <f aca="false">_xlfn.T.DIST(A9,30,0)</f>
        <v>0.00501533521764475</v>
      </c>
      <c r="H9" s="0" t="n">
        <f aca="false">_xlfn.NORM.DIST(A9,0,1,0)</f>
        <v>0.00302225803519876</v>
      </c>
    </row>
    <row r="10" customFormat="false" ht="12.8" hidden="false" customHeight="false" outlineLevel="0" collapsed="false">
      <c r="A10" s="0" t="n">
        <f aca="false">A9+1/8</f>
        <v>-3</v>
      </c>
      <c r="B10" s="0" t="n">
        <f aca="false">_xlfn.T.DIST(A10,1,0)</f>
        <v>0.0318309886183791</v>
      </c>
      <c r="C10" s="0" t="n">
        <f aca="false">_xlfn.T.DIST(A10,2,0)</f>
        <v>0.0274101222343421</v>
      </c>
      <c r="D10" s="0" t="n">
        <f aca="false">_xlfn.T.DIST(A10,3,0)</f>
        <v>0.0229720373092413</v>
      </c>
      <c r="E10" s="0" t="n">
        <f aca="false">_xlfn.T.DIST(A10,10,0)</f>
        <v>0.0114005494645425</v>
      </c>
      <c r="F10" s="0" t="n">
        <f aca="false">_xlfn.T.DIST(A10,20,0)</f>
        <v>0.00796378664618066</v>
      </c>
      <c r="G10" s="0" t="n">
        <f aca="false">_xlfn.T.DIST(A10,30,0)</f>
        <v>0.0067790627460931</v>
      </c>
      <c r="H10" s="0" t="n">
        <f aca="false">_xlfn.NORM.DIST(A10,0,1,0)</f>
        <v>0.00443184841193801</v>
      </c>
    </row>
    <row r="11" customFormat="false" ht="12.8" hidden="false" customHeight="false" outlineLevel="0" collapsed="false">
      <c r="A11" s="0" t="n">
        <f aca="false">A10+1/8</f>
        <v>-2.875</v>
      </c>
      <c r="B11" s="0" t="n">
        <f aca="false">_xlfn.T.DIST(A11,1,0)</f>
        <v>0.0343538494363619</v>
      </c>
      <c r="C11" s="0" t="n">
        <f aca="false">_xlfn.T.DIST(A11,2,0)</f>
        <v>0.0304033827318208</v>
      </c>
      <c r="D11" s="0" t="n">
        <f aca="false">_xlfn.T.DIST(A11,3,0)</f>
        <v>0.0260646215552178</v>
      </c>
      <c r="E11" s="0" t="n">
        <f aca="false">_xlfn.T.DIST(A11,10,0)</f>
        <v>0.0141605667004116</v>
      </c>
      <c r="F11" s="0" t="n">
        <f aca="false">_xlfn.T.DIST(A11,20,0)</f>
        <v>0.0104251753693731</v>
      </c>
      <c r="G11" s="0" t="n">
        <f aca="false">_xlfn.T.DIST(A11,30,0)</f>
        <v>0.00910195093205638</v>
      </c>
      <c r="H11" s="0" t="n">
        <f aca="false">_xlfn.NORM.DIST(A11,0,1,0)</f>
        <v>0.00639812031072356</v>
      </c>
    </row>
    <row r="12" customFormat="false" ht="12.8" hidden="false" customHeight="false" outlineLevel="0" collapsed="false">
      <c r="A12" s="0" t="n">
        <f aca="false">A11+1/8</f>
        <v>-2.75</v>
      </c>
      <c r="B12" s="0" t="n">
        <f aca="false">_xlfn.T.DIST(A12,1,0)</f>
        <v>0.0371748772185449</v>
      </c>
      <c r="C12" s="0" t="n">
        <f aca="false">_xlfn.T.DIST(A12,2,0)</f>
        <v>0.0338176034909048</v>
      </c>
      <c r="D12" s="0" t="n">
        <f aca="false">_xlfn.T.DIST(A12,3,0)</f>
        <v>0.0296502637641495</v>
      </c>
      <c r="E12" s="0" t="n">
        <f aca="false">_xlfn.T.DIST(A12,10,0)</f>
        <v>0.0175729929017206</v>
      </c>
      <c r="F12" s="0" t="n">
        <f aca="false">_xlfn.T.DIST(A12,20,0)</f>
        <v>0.0135816715308245</v>
      </c>
      <c r="G12" s="0" t="n">
        <f aca="false">_xlfn.T.DIST(A12,30,0)</f>
        <v>0.01213323132656</v>
      </c>
      <c r="H12" s="0" t="n">
        <f aca="false">_xlfn.NORM.DIST(A12,0,1,0)</f>
        <v>0.00909356250159105</v>
      </c>
    </row>
    <row r="13" customFormat="false" ht="12.8" hidden="false" customHeight="false" outlineLevel="0" collapsed="false">
      <c r="A13" s="0" t="n">
        <f aca="false">A12+1/8</f>
        <v>-2.625</v>
      </c>
      <c r="B13" s="0" t="n">
        <f aca="false">_xlfn.T.DIST(A13,1,0)</f>
        <v>0.0403402628034903</v>
      </c>
      <c r="C13" s="0" t="n">
        <f aca="false">_xlfn.T.DIST(A13,2,0)</f>
        <v>0.0377225950391851</v>
      </c>
      <c r="D13" s="0" t="n">
        <f aca="false">_xlfn.T.DIST(A13,3,0)</f>
        <v>0.0338154003076849</v>
      </c>
      <c r="E13" s="0" t="n">
        <f aca="false">_xlfn.T.DIST(A13,10,0)</f>
        <v>0.0217780569242191</v>
      </c>
      <c r="F13" s="0" t="n">
        <f aca="false">_xlfn.T.DIST(A13,20,0)</f>
        <v>0.017599048286917</v>
      </c>
      <c r="G13" s="0" t="n">
        <f aca="false">_xlfn.T.DIST(A13,30,0)</f>
        <v>0.0160499195421959</v>
      </c>
      <c r="H13" s="0" t="n">
        <f aca="false">_xlfn.NORM.DIST(A13,0,1,0)</f>
        <v>0.0127241815968314</v>
      </c>
    </row>
    <row r="14" customFormat="false" ht="12.8" hidden="false" customHeight="false" outlineLevel="0" collapsed="false">
      <c r="A14" s="0" t="n">
        <f aca="false">A13+1/8</f>
        <v>-2.5</v>
      </c>
      <c r="B14" s="0" t="n">
        <f aca="false">_xlfn.T.DIST(A14,1,0)</f>
        <v>0.0439048118874194</v>
      </c>
      <c r="C14" s="0" t="n">
        <f aca="false">_xlfn.T.DIST(A14,2,0)</f>
        <v>0.042200643868048</v>
      </c>
      <c r="D14" s="0" t="n">
        <f aca="false">_xlfn.T.DIST(A14,3,0)</f>
        <v>0.0386614857271673</v>
      </c>
      <c r="E14" s="0" t="n">
        <f aca="false">_xlfn.T.DIST(A14,10,0)</f>
        <v>0.0269387276282445</v>
      </c>
      <c r="F14" s="0" t="n">
        <f aca="false">_xlfn.T.DIST(A14,20,0)</f>
        <v>0.0226694437191449</v>
      </c>
      <c r="G14" s="0" t="n">
        <f aca="false">_xlfn.T.DIST(A14,30,0)</f>
        <v>0.0210570192206216</v>
      </c>
      <c r="H14" s="0" t="n">
        <f aca="false">_xlfn.NORM.DIST(A14,0,1,0)</f>
        <v>0.0175283004935685</v>
      </c>
    </row>
    <row r="15" customFormat="false" ht="12.8" hidden="false" customHeight="false" outlineLevel="0" collapsed="false">
      <c r="A15" s="0" t="n">
        <f aca="false">A14+1/8</f>
        <v>-2.375</v>
      </c>
      <c r="B15" s="0" t="n">
        <f aca="false">_xlfn.T.DIST(A15,1,0)</f>
        <v>0.0479337240370885</v>
      </c>
      <c r="C15" s="0" t="n">
        <f aca="false">_xlfn.T.DIST(A15,2,0)</f>
        <v>0.0473485487531331</v>
      </c>
      <c r="D15" s="0" t="n">
        <f aca="false">_xlfn.T.DIST(A15,3,0)</f>
        <v>0.0443069331964918</v>
      </c>
      <c r="E15" s="0" t="n">
        <f aca="false">_xlfn.T.DIST(A15,10,0)</f>
        <v>0.0332409187847683</v>
      </c>
      <c r="F15" s="0" t="n">
        <f aca="false">_xlfn.T.DIST(A15,20,0)</f>
        <v>0.0290100328282257</v>
      </c>
      <c r="G15" s="0" t="n">
        <f aca="false">_xlfn.T.DIST(A15,30,0)</f>
        <v>0.0273853778553027</v>
      </c>
      <c r="H15" s="0" t="n">
        <f aca="false">_xlfn.NORM.DIST(A15,0,1,0)</f>
        <v>0.0237719008299138</v>
      </c>
    </row>
    <row r="16" customFormat="false" ht="12.8" hidden="false" customHeight="false" outlineLevel="0" collapsed="false">
      <c r="A16" s="0" t="n">
        <f aca="false">A15+1/8</f>
        <v>-2.25</v>
      </c>
      <c r="B16" s="0" t="n">
        <f aca="false">_xlfn.T.DIST(A16,1,0)</f>
        <v>0.0525047234942335</v>
      </c>
      <c r="C16" s="0" t="n">
        <f aca="false">_xlfn.T.DIST(A16,2,0)</f>
        <v>0.0532797659969471</v>
      </c>
      <c r="D16" s="0" t="n">
        <f aca="false">_xlfn.T.DIST(A16,3,0)</f>
        <v>0.0508888398153881</v>
      </c>
      <c r="E16" s="0" t="n">
        <f aca="false">_xlfn.T.DIST(A16,10,0)</f>
        <v>0.0408918499889489</v>
      </c>
      <c r="F16" s="0" t="n">
        <f aca="false">_xlfn.T.DIST(A16,20,0)</f>
        <v>0.0368589110049578</v>
      </c>
      <c r="G16" s="0" t="n">
        <f aca="false">_xlfn.T.DIST(A16,30,0)</f>
        <v>0.0352863261773749</v>
      </c>
      <c r="H16" s="0" t="n">
        <f aca="false">_xlfn.NORM.DIST(A16,0,1,0)</f>
        <v>0.0317396518356674</v>
      </c>
    </row>
    <row r="17" customFormat="false" ht="12.8" hidden="false" customHeight="false" outlineLevel="0" collapsed="false">
      <c r="A17" s="0" t="n">
        <f aca="false">A16+1/8</f>
        <v>-2.125</v>
      </c>
      <c r="B17" s="0" t="n">
        <f aca="false">_xlfn.T.DIST(A17,1,0)</f>
        <v>0.0577105742656165</v>
      </c>
      <c r="C17" s="0" t="n">
        <f aca="false">_xlfn.T.DIST(A17,2,0)</f>
        <v>0.0601264936977671</v>
      </c>
      <c r="D17" s="0" t="n">
        <f aca="false">_xlfn.T.DIST(A17,3,0)</f>
        <v>0.0585641440600878</v>
      </c>
      <c r="E17" s="0" t="n">
        <f aca="false">_xlfn.T.DIST(A17,10,0)</f>
        <v>0.050115725110345</v>
      </c>
      <c r="F17" s="0" t="n">
        <f aca="false">_xlfn.T.DIST(A17,20,0)</f>
        <v>0.046467297355627</v>
      </c>
      <c r="G17" s="0" t="n">
        <f aca="false">_xlfn.T.DIST(A17,30,0)</f>
        <v>0.0450222363318057</v>
      </c>
      <c r="H17" s="0" t="n">
        <f aca="false">_xlfn.NORM.DIST(A17,0,1,0)</f>
        <v>0.0417209852563386</v>
      </c>
    </row>
    <row r="18" customFormat="false" ht="12.8" hidden="false" customHeight="false" outlineLevel="0" collapsed="false">
      <c r="A18" s="0" t="n">
        <f aca="false">A17+1/8</f>
        <v>-2</v>
      </c>
      <c r="B18" s="0" t="n">
        <f aca="false">_xlfn.T.DIST(A18,1,0)</f>
        <v>0.0636619772367582</v>
      </c>
      <c r="C18" s="0" t="n">
        <f aca="false">_xlfn.T.DIST(A18,2,0)</f>
        <v>0.0680413817439772</v>
      </c>
      <c r="D18" s="0" t="n">
        <f aca="false">_xlfn.T.DIST(A18,3,0)</f>
        <v>0.0675096606638929</v>
      </c>
      <c r="E18" s="0" t="n">
        <f aca="false">_xlfn.T.DIST(A18,10,0)</f>
        <v>0.0611457663212182</v>
      </c>
      <c r="F18" s="0" t="n">
        <f aca="false">_xlfn.T.DIST(A18,20,0)</f>
        <v>0.058087215247357</v>
      </c>
      <c r="G18" s="0" t="n">
        <f aca="false">_xlfn.T.DIST(A18,30,0)</f>
        <v>0.056852275047198</v>
      </c>
      <c r="H18" s="0" t="n">
        <f aca="false">_xlfn.NORM.DIST(A18,0,1,0)</f>
        <v>0.0539909665131881</v>
      </c>
    </row>
    <row r="19" customFormat="false" ht="12.8" hidden="false" customHeight="false" outlineLevel="0" collapsed="false">
      <c r="A19" s="0" t="n">
        <f aca="false">A18+1/8</f>
        <v>-1.875</v>
      </c>
      <c r="B19" s="0" t="n">
        <f aca="false">_xlfn.T.DIST(A19,1,0)</f>
        <v>0.0704907706427772</v>
      </c>
      <c r="C19" s="0" t="n">
        <f aca="false">_xlfn.T.DIST(A19,2,0)</f>
        <v>0.077198329532896</v>
      </c>
      <c r="D19" s="0" t="n">
        <f aca="false">_xlfn.T.DIST(A19,3,0)</f>
        <v>0.0779201613321485</v>
      </c>
      <c r="E19" s="0" t="n">
        <f aca="false">_xlfn.T.DIST(A19,10,0)</f>
        <v>0.0742116101272924</v>
      </c>
      <c r="F19" s="0" t="n">
        <f aca="false">_xlfn.T.DIST(A19,20,0)</f>
        <v>0.0719540215735576</v>
      </c>
      <c r="G19" s="0" t="n">
        <f aca="false">_xlfn.T.DIST(A19,30,0)</f>
        <v>0.0710129514595371</v>
      </c>
      <c r="H19" s="0" t="n">
        <f aca="false">_xlfn.NORM.DIST(A19,0,1,0)</f>
        <v>0.0687862758266919</v>
      </c>
    </row>
    <row r="20" customFormat="false" ht="12.8" hidden="false" customHeight="false" outlineLevel="0" collapsed="false">
      <c r="A20" s="0" t="n">
        <f aca="false">A19+1/8</f>
        <v>-1.75</v>
      </c>
      <c r="B20" s="0" t="n">
        <f aca="false">_xlfn.T.DIST(A20,1,0)</f>
        <v>0.0783532027529331</v>
      </c>
      <c r="C20" s="0" t="n">
        <f aca="false">_xlfn.T.DIST(A20,2,0)</f>
        <v>0.0877914951989026</v>
      </c>
      <c r="D20" s="0" t="n">
        <f aca="false">_xlfn.T.DIST(A20,3,0)</f>
        <v>0.0900033142063846</v>
      </c>
      <c r="E20" s="0" t="n">
        <f aca="false">_xlfn.T.DIST(A20,10,0)</f>
        <v>0.0895212050195621</v>
      </c>
      <c r="F20" s="0" t="n">
        <f aca="false">_xlfn.T.DIST(A20,20,0)</f>
        <v>0.0882635859151642</v>
      </c>
      <c r="G20" s="0" t="n">
        <f aca="false">_xlfn.T.DIST(A20,30,0)</f>
        <v>0.0876935955819216</v>
      </c>
      <c r="H20" s="0" t="n">
        <f aca="false">_xlfn.NORM.DIST(A20,0,1,0)</f>
        <v>0.0862773188265115</v>
      </c>
    </row>
    <row r="21" customFormat="false" ht="12.8" hidden="false" customHeight="false" outlineLevel="0" collapsed="false">
      <c r="A21" s="0" t="n">
        <f aca="false">A20+1/8</f>
        <v>-1.625</v>
      </c>
      <c r="B21" s="0" t="n">
        <f aca="false">_xlfn.T.DIST(A21,1,0)</f>
        <v>0.0874327584367494</v>
      </c>
      <c r="C21" s="0" t="n">
        <f aca="false">_xlfn.T.DIST(A21,2,0)</f>
        <v>0.100031155835373</v>
      </c>
      <c r="D21" s="0" t="n">
        <f aca="false">_xlfn.T.DIST(A21,3,0)</f>
        <v>0.103969881553134</v>
      </c>
      <c r="E21" s="0" t="n">
        <f aca="false">_xlfn.T.DIST(A21,10,0)</f>
        <v>0.107236733475078</v>
      </c>
      <c r="F21" s="0" t="n">
        <f aca="false">_xlfn.T.DIST(A21,20,0)</f>
        <v>0.107144596552046</v>
      </c>
      <c r="G21" s="0" t="n">
        <f aca="false">_xlfn.T.DIST(A21,30,0)</f>
        <v>0.107007653218951</v>
      </c>
      <c r="H21" s="0" t="n">
        <f aca="false">_xlfn.NORM.DIST(A21,0,1,0)</f>
        <v>0.106538268130585</v>
      </c>
    </row>
    <row r="22" customFormat="false" ht="12.8" hidden="false" customHeight="false" outlineLevel="0" collapsed="false">
      <c r="A22" s="0" t="n">
        <f aca="false">A21+1/8</f>
        <v>-1.5</v>
      </c>
      <c r="B22" s="0" t="n">
        <f aca="false">_xlfn.T.DIST(A22,1,0)</f>
        <v>0.0979415034411664</v>
      </c>
      <c r="C22" s="0" t="n">
        <f aca="false">_xlfn.T.DIST(A22,2,0)</f>
        <v>0.114134411781804</v>
      </c>
      <c r="D22" s="0" t="n">
        <f aca="false">_xlfn.T.DIST(A22,3,0)</f>
        <v>0.120017174513587</v>
      </c>
      <c r="E22" s="0" t="n">
        <f aca="false">_xlfn.T.DIST(A22,10,0)</f>
        <v>0.127444794287092</v>
      </c>
      <c r="F22" s="0" t="n">
        <f aca="false">_xlfn.T.DIST(A22,20,0)</f>
        <v>0.128627382972146</v>
      </c>
      <c r="G22" s="0" t="n">
        <f aca="false">_xlfn.T.DIST(A22,30,0)</f>
        <v>0.128961601739672</v>
      </c>
      <c r="H22" s="0" t="n">
        <f aca="false">_xlfn.NORM.DIST(A22,0,1,0)</f>
        <v>0.129517595665892</v>
      </c>
    </row>
    <row r="23" customFormat="false" ht="12.8" hidden="false" customHeight="false" outlineLevel="0" collapsed="false">
      <c r="A23" s="0" t="n">
        <f aca="false">A22+1/8</f>
        <v>-1.375</v>
      </c>
      <c r="B23" s="0" t="n">
        <f aca="false">_xlfn.T.DIST(A23,1,0)</f>
        <v>0.110118014679798</v>
      </c>
      <c r="C23" s="0" t="n">
        <f aca="false">_xlfn.T.DIST(A23,2,0)</f>
        <v>0.130307958340776</v>
      </c>
      <c r="D23" s="0" t="n">
        <f aca="false">_xlfn.T.DIST(A23,3,0)</f>
        <v>0.138303534116771</v>
      </c>
      <c r="E23" s="0" t="n">
        <f aca="false">_xlfn.T.DIST(A23,10,0)</f>
        <v>0.150122169890775</v>
      </c>
      <c r="F23" s="0" t="n">
        <f aca="false">_xlfn.T.DIST(A23,20,0)</f>
        <v>0.152611724831597</v>
      </c>
      <c r="G23" s="0" t="n">
        <f aca="false">_xlfn.T.DIST(A23,30,0)</f>
        <v>0.153424277310708</v>
      </c>
      <c r="H23" s="0" t="n">
        <f aca="false">_xlfn.NORM.DIST(A23,0,1,0)</f>
        <v>0.155012265458293</v>
      </c>
    </row>
    <row r="24" customFormat="false" ht="12.8" hidden="false" customHeight="false" outlineLevel="0" collapsed="false">
      <c r="A24" s="0" t="n">
        <f aca="false">A23+1/8</f>
        <v>-1.25</v>
      </c>
      <c r="B24" s="0" t="n">
        <f aca="false">_xlfn.T.DIST(A24,1,0)</f>
        <v>0.124218492169284</v>
      </c>
      <c r="C24" s="0" t="n">
        <f aca="false">_xlfn.T.DIST(A24,2,0)</f>
        <v>0.148719422547654</v>
      </c>
      <c r="D24" s="0" t="n">
        <f aca="false">_xlfn.T.DIST(A24,3,0)</f>
        <v>0.158911837749648</v>
      </c>
      <c r="E24" s="0" t="n">
        <f aca="false">_xlfn.T.DIST(A24,10,0)</f>
        <v>0.175099935807413</v>
      </c>
      <c r="F24" s="0" t="n">
        <f aca="false">_xlfn.T.DIST(A24,20,0)</f>
        <v>0.178837221606673</v>
      </c>
      <c r="G24" s="0" t="n">
        <f aca="false">_xlfn.T.DIST(A24,30,0)</f>
        <v>0.180100298630059</v>
      </c>
      <c r="H24" s="0" t="n">
        <f aca="false">_xlfn.NORM.DIST(A24,0,1,0)</f>
        <v>0.182649085389022</v>
      </c>
    </row>
    <row r="25" customFormat="false" ht="12.8" hidden="false" customHeight="false" outlineLevel="0" collapsed="false">
      <c r="A25" s="0" t="n">
        <f aca="false">A24+1/8</f>
        <v>-1.125</v>
      </c>
      <c r="B25" s="0" t="n">
        <f aca="false">_xlfn.T.DIST(A25,1,0)</f>
        <v>0.140495398039742</v>
      </c>
      <c r="C25" s="0" t="n">
        <f aca="false">_xlfn.T.DIST(A25,2,0)</f>
        <v>0.169453495454273</v>
      </c>
      <c r="D25" s="0" t="n">
        <f aca="false">_xlfn.T.DIST(A25,3,0)</f>
        <v>0.181801163760227</v>
      </c>
      <c r="E25" s="0" t="n">
        <f aca="false">_xlfn.T.DIST(A25,10,0)</f>
        <v>0.202030291021184</v>
      </c>
      <c r="F25" s="0" t="n">
        <f aca="false">_xlfn.T.DIST(A25,20,0)</f>
        <v>0.206860707960146</v>
      </c>
      <c r="G25" s="0" t="n">
        <f aca="false">_xlfn.T.DIST(A25,30,0)</f>
        <v>0.208511871109227</v>
      </c>
      <c r="H25" s="0" t="n">
        <f aca="false">_xlfn.NORM.DIST(A25,0,1,0)</f>
        <v>0.211876645775699</v>
      </c>
    </row>
    <row r="26" customFormat="false" ht="12.8" hidden="false" customHeight="false" outlineLevel="0" collapsed="false">
      <c r="A26" s="0" t="n">
        <f aca="false">A25+1/8</f>
        <v>-1</v>
      </c>
      <c r="B26" s="0" t="n">
        <f aca="false">_xlfn.T.DIST(A26,1,0)</f>
        <v>0.159154943091895</v>
      </c>
      <c r="C26" s="0" t="n">
        <f aca="false">_xlfn.T.DIST(A26,2,0)</f>
        <v>0.192450089729875</v>
      </c>
      <c r="D26" s="0" t="n">
        <f aca="false">_xlfn.T.DIST(A26,3,0)</f>
        <v>0.206748335783172</v>
      </c>
      <c r="E26" s="0" t="n">
        <f aca="false">_xlfn.T.DIST(A26,10,0)</f>
        <v>0.230361989229139</v>
      </c>
      <c r="F26" s="0" t="n">
        <f aca="false">_xlfn.T.DIST(A26,20,0)</f>
        <v>0.236045649126701</v>
      </c>
      <c r="G26" s="0" t="n">
        <f aca="false">_xlfn.T.DIST(A26,30,0)</f>
        <v>0.237993342322879</v>
      </c>
      <c r="H26" s="0" t="n">
        <f aca="false">_xlfn.NORM.DIST(A26,0,1,0)</f>
        <v>0.241970724519143</v>
      </c>
    </row>
    <row r="27" customFormat="false" ht="12.8" hidden="false" customHeight="false" outlineLevel="0" collapsed="false">
      <c r="A27" s="0" t="n">
        <f aca="false">A26+1/8</f>
        <v>-0.875</v>
      </c>
      <c r="B27" s="0" t="n">
        <f aca="false">_xlfn.T.DIST(A27,1,0)</f>
        <v>0.180281705449227</v>
      </c>
      <c r="C27" s="0" t="n">
        <f aca="false">_xlfn.T.DIST(A27,2,0)</f>
        <v>0.217425291716073</v>
      </c>
      <c r="D27" s="0" t="n">
        <f aca="false">_xlfn.T.DIST(A27,3,0)</f>
        <v>0.233285565570255</v>
      </c>
      <c r="E27" s="0" t="n">
        <f aca="false">_xlfn.T.DIST(A27,10,0)</f>
        <v>0.259331173274921</v>
      </c>
      <c r="F27" s="0" t="n">
        <f aca="false">_xlfn.T.DIST(A27,20,0)</f>
        <v>0.265568170306444</v>
      </c>
      <c r="G27" s="0" t="n">
        <f aca="false">_xlfn.T.DIST(A27,30,0)</f>
        <v>0.267702273320424</v>
      </c>
      <c r="H27" s="0" t="n">
        <f aca="false">_xlfn.NORM.DIST(A27,0,1,0)</f>
        <v>0.272054998378543</v>
      </c>
    </row>
    <row r="28" customFormat="false" ht="12.8" hidden="false" customHeight="false" outlineLevel="0" collapsed="false">
      <c r="A28" s="0" t="n">
        <f aca="false">A27+1/8</f>
        <v>-0.75</v>
      </c>
      <c r="B28" s="0" t="n">
        <f aca="false">_xlfn.T.DIST(A28,1,0)</f>
        <v>0.203718327157626</v>
      </c>
      <c r="C28" s="0" t="n">
        <f aca="false">_xlfn.T.DIST(A28,2,0)</f>
        <v>0.24378343319197</v>
      </c>
      <c r="D28" s="0" t="n">
        <f aca="false">_xlfn.T.DIST(A28,3,0)</f>
        <v>0.260646716949176</v>
      </c>
      <c r="E28" s="0" t="n">
        <f aca="false">_xlfn.T.DIST(A28,10,0)</f>
        <v>0.287974224693945</v>
      </c>
      <c r="F28" s="0" t="n">
        <f aca="false">_xlfn.T.DIST(A28,20,0)</f>
        <v>0.294443169431178</v>
      </c>
      <c r="G28" s="0" t="n">
        <f aca="false">_xlfn.T.DIST(A28,30,0)</f>
        <v>0.296649402107909</v>
      </c>
      <c r="H28" s="0" t="n">
        <f aca="false">_xlfn.NORM.DIST(A28,0,1,0)</f>
        <v>0.301137432154804</v>
      </c>
    </row>
    <row r="29" customFormat="false" ht="12.8" hidden="false" customHeight="false" outlineLevel="0" collapsed="false">
      <c r="A29" s="0" t="n">
        <f aca="false">A28+1/8</f>
        <v>-0.625</v>
      </c>
      <c r="B29" s="0" t="n">
        <f aca="false">_xlfn.T.DIST(A29,1,0)</f>
        <v>0.228896996806321</v>
      </c>
      <c r="C29" s="0" t="n">
        <f aca="false">_xlfn.T.DIST(A29,2,0)</f>
        <v>0.270540827927239</v>
      </c>
      <c r="D29" s="0" t="n">
        <f aca="false">_xlfn.T.DIST(A29,3,0)</f>
        <v>0.287741488115823</v>
      </c>
      <c r="E29" s="0" t="n">
        <f aca="false">_xlfn.T.DIST(A29,10,0)</f>
        <v>0.315167477824462</v>
      </c>
      <c r="F29" s="0" t="n">
        <f aca="false">_xlfn.T.DIST(A29,20,0)</f>
        <v>0.321571794165692</v>
      </c>
      <c r="G29" s="0" t="n">
        <f aca="false">_xlfn.T.DIST(A29,30,0)</f>
        <v>0.323747759532589</v>
      </c>
      <c r="H29" s="0" t="n">
        <f aca="false">_xlfn.NORM.DIST(A29,0,1,0)</f>
        <v>0.328160968550375</v>
      </c>
    </row>
    <row r="30" customFormat="false" ht="12.8" hidden="false" customHeight="false" outlineLevel="0" collapsed="false">
      <c r="A30" s="0" t="n">
        <f aca="false">A29+1/8</f>
        <v>-0.5</v>
      </c>
      <c r="B30" s="0" t="n">
        <f aca="false">_xlfn.T.DIST(A30,1,0)</f>
        <v>0.254647908947033</v>
      </c>
      <c r="C30" s="0" t="n">
        <f aca="false">_xlfn.T.DIST(A30,2,0)</f>
        <v>0.296296296296296</v>
      </c>
      <c r="D30" s="0" t="n">
        <f aca="false">_xlfn.T.DIST(A30,3,0)</f>
        <v>0.313180911008829</v>
      </c>
      <c r="E30" s="0" t="n">
        <f aca="false">_xlfn.T.DIST(A30,10,0)</f>
        <v>0.339695136352078</v>
      </c>
      <c r="F30" s="0" t="n">
        <f aca="false">_xlfn.T.DIST(A30,20,0)</f>
        <v>0.345808612383742</v>
      </c>
      <c r="G30" s="0" t="n">
        <f aca="false">_xlfn.T.DIST(A30,30,0)</f>
        <v>0.347878579697205</v>
      </c>
      <c r="H30" s="0" t="n">
        <f aca="false">_xlfn.NORM.DIST(A30,0,1,0)</f>
        <v>0.3520653267643</v>
      </c>
    </row>
    <row r="31" customFormat="false" ht="12.8" hidden="false" customHeight="false" outlineLevel="0" collapsed="false">
      <c r="A31" s="0" t="n">
        <f aca="false">A30+1/8</f>
        <v>-0.375</v>
      </c>
      <c r="B31" s="0" t="n">
        <f aca="false">_xlfn.T.DIST(A31,1,0)</f>
        <v>0.279066201585789</v>
      </c>
      <c r="C31" s="0" t="n">
        <f aca="false">_xlfn.T.DIST(A31,2,0)</f>
        <v>0.31929278886933</v>
      </c>
      <c r="D31" s="0" t="n">
        <f aca="false">_xlfn.T.DIST(A31,3,0)</f>
        <v>0.335374345533179</v>
      </c>
      <c r="E31" s="0" t="n">
        <f aca="false">_xlfn.T.DIST(A31,10,0)</f>
        <v>0.360341774576743</v>
      </c>
      <c r="F31" s="0" t="n">
        <f aca="false">_xlfn.T.DIST(A31,20,0)</f>
        <v>0.366043491411426</v>
      </c>
      <c r="G31" s="0" t="n">
        <f aca="false">_xlfn.T.DIST(A31,30,0)</f>
        <v>0.367968913863115</v>
      </c>
      <c r="H31" s="0" t="n">
        <f aca="false">_xlfn.NORM.DIST(A31,0,1,0)</f>
        <v>0.371855093869769</v>
      </c>
    </row>
    <row r="32" customFormat="false" ht="12.8" hidden="false" customHeight="false" outlineLevel="0" collapsed="false">
      <c r="A32" s="0" t="n">
        <f aca="false">A31+1/8</f>
        <v>-0.25</v>
      </c>
      <c r="B32" s="0" t="n">
        <f aca="false">_xlfn.T.DIST(A32,1,0)</f>
        <v>0.299585775231803</v>
      </c>
      <c r="C32" s="0" t="n">
        <f aca="false">_xlfn.T.DIST(A32,2,0)</f>
        <v>0.337605150944384</v>
      </c>
      <c r="D32" s="0" t="n">
        <f aca="false">_xlfn.T.DIST(A32,3,0)</f>
        <v>0.35270353326442</v>
      </c>
      <c r="E32" s="0" t="n">
        <f aca="false">_xlfn.T.DIST(A32,10,0)</f>
        <v>0.376000285689718</v>
      </c>
      <c r="F32" s="0" t="n">
        <f aca="false">_xlfn.T.DIST(A32,20,0)</f>
        <v>0.381290137691958</v>
      </c>
      <c r="G32" s="0" t="n">
        <f aca="false">_xlfn.T.DIST(A32,30,0)</f>
        <v>0.383073500256561</v>
      </c>
      <c r="H32" s="0" t="n">
        <f aca="false">_xlfn.NORM.DIST(A32,0,1,0)</f>
        <v>0.386668116802849</v>
      </c>
    </row>
    <row r="33" customFormat="false" ht="12.8" hidden="false" customHeight="false" outlineLevel="0" collapsed="false">
      <c r="A33" s="0" t="n">
        <f aca="false">A32+1/8</f>
        <v>-0.125</v>
      </c>
      <c r="B33" s="0" t="n">
        <f aca="false">_xlfn.T.DIST(A33,1,0)</f>
        <v>0.313412811011732</v>
      </c>
      <c r="C33" s="0" t="n">
        <f aca="false">_xlfn.T.DIST(A33,2,0)</f>
        <v>0.349450282200558</v>
      </c>
      <c r="D33" s="0" t="n">
        <f aca="false">_xlfn.T.DIST(A33,3,0)</f>
        <v>0.363753629195038</v>
      </c>
      <c r="E33" s="0" t="n">
        <f aca="false">_xlfn.T.DIST(A33,10,0)</f>
        <v>0.385781398422958</v>
      </c>
      <c r="F33" s="0" t="n">
        <f aca="false">_xlfn.T.DIST(A33,20,0)</f>
        <v>0.390771119427721</v>
      </c>
      <c r="G33" s="0" t="n">
        <f aca="false">_xlfn.T.DIST(A33,30,0)</f>
        <v>0.392451961452798</v>
      </c>
      <c r="H33" s="0" t="n">
        <f aca="false">_xlfn.NORM.DIST(A33,0,1,0)</f>
        <v>0.39583768694475</v>
      </c>
    </row>
    <row r="34" customFormat="false" ht="12.8" hidden="false" customHeight="false" outlineLevel="0" collapsed="false">
      <c r="A34" s="0" t="n">
        <f aca="false">A33+1/8</f>
        <v>0</v>
      </c>
      <c r="B34" s="0" t="n">
        <f aca="false">_xlfn.T.DIST(A34,1,0)</f>
        <v>0.318309886183791</v>
      </c>
      <c r="C34" s="0" t="n">
        <f aca="false">_xlfn.T.DIST(A34,2,0)</f>
        <v>0.353553390593274</v>
      </c>
      <c r="D34" s="0" t="n">
        <f aca="false">_xlfn.T.DIST(A34,3,0)</f>
        <v>0.367552596947861</v>
      </c>
      <c r="E34" s="0" t="n">
        <f aca="false">_xlfn.T.DIST(A34,10,0)</f>
        <v>0.389108383966031</v>
      </c>
      <c r="F34" s="0" t="n">
        <f aca="false">_xlfn.T.DIST(A34,20,0)</f>
        <v>0.393988585711432</v>
      </c>
      <c r="G34" s="0" t="n">
        <f aca="false">_xlfn.T.DIST(A34,30,0)</f>
        <v>0.395632184894098</v>
      </c>
      <c r="H34" s="0" t="n">
        <f aca="false">_xlfn.NORM.DIST(A34,0,1,0)</f>
        <v>0.398942280401433</v>
      </c>
    </row>
    <row r="35" customFormat="false" ht="12.8" hidden="false" customHeight="false" outlineLevel="0" collapsed="false">
      <c r="A35" s="0" t="n">
        <f aca="false">A34+1/8</f>
        <v>0.125</v>
      </c>
      <c r="B35" s="0" t="n">
        <f aca="false">_xlfn.T.DIST(A35,1,0)</f>
        <v>0.313412811011732</v>
      </c>
      <c r="C35" s="0" t="n">
        <f aca="false">_xlfn.T.DIST(A35,2,0)</f>
        <v>0.349450282200558</v>
      </c>
      <c r="D35" s="0" t="n">
        <f aca="false">_xlfn.T.DIST(A35,3,0)</f>
        <v>0.363753629195038</v>
      </c>
      <c r="E35" s="0" t="n">
        <f aca="false">_xlfn.T.DIST(A35,10,0)</f>
        <v>0.385781398422958</v>
      </c>
      <c r="F35" s="0" t="n">
        <f aca="false">_xlfn.T.DIST(A35,20,0)</f>
        <v>0.390771119427721</v>
      </c>
      <c r="G35" s="0" t="n">
        <f aca="false">_xlfn.T.DIST(A35,30,0)</f>
        <v>0.392451961452798</v>
      </c>
      <c r="H35" s="0" t="n">
        <f aca="false">_xlfn.NORM.DIST(A35,0,1,0)</f>
        <v>0.39583768694475</v>
      </c>
    </row>
    <row r="36" customFormat="false" ht="12.8" hidden="false" customHeight="false" outlineLevel="0" collapsed="false">
      <c r="A36" s="0" t="n">
        <f aca="false">A35+1/8</f>
        <v>0.25</v>
      </c>
      <c r="B36" s="0" t="n">
        <f aca="false">_xlfn.T.DIST(A36,1,0)</f>
        <v>0.299585775231803</v>
      </c>
      <c r="C36" s="0" t="n">
        <f aca="false">_xlfn.T.DIST(A36,2,0)</f>
        <v>0.337605150944384</v>
      </c>
      <c r="D36" s="0" t="n">
        <f aca="false">_xlfn.T.DIST(A36,3,0)</f>
        <v>0.35270353326442</v>
      </c>
      <c r="E36" s="0" t="n">
        <f aca="false">_xlfn.T.DIST(A36,10,0)</f>
        <v>0.376000285689718</v>
      </c>
      <c r="F36" s="0" t="n">
        <f aca="false">_xlfn.T.DIST(A36,20,0)</f>
        <v>0.381290137691958</v>
      </c>
      <c r="G36" s="0" t="n">
        <f aca="false">_xlfn.T.DIST(A36,30,0)</f>
        <v>0.383073500256561</v>
      </c>
      <c r="H36" s="0" t="n">
        <f aca="false">_xlfn.NORM.DIST(A36,0,1,0)</f>
        <v>0.386668116802849</v>
      </c>
    </row>
    <row r="37" customFormat="false" ht="12.8" hidden="false" customHeight="false" outlineLevel="0" collapsed="false">
      <c r="A37" s="0" t="n">
        <f aca="false">A36+1/8</f>
        <v>0.375</v>
      </c>
      <c r="B37" s="0" t="n">
        <f aca="false">_xlfn.T.DIST(A37,1,0)</f>
        <v>0.279066201585789</v>
      </c>
      <c r="C37" s="0" t="n">
        <f aca="false">_xlfn.T.DIST(A37,2,0)</f>
        <v>0.31929278886933</v>
      </c>
      <c r="D37" s="0" t="n">
        <f aca="false">_xlfn.T.DIST(A37,3,0)</f>
        <v>0.335374345533179</v>
      </c>
      <c r="E37" s="0" t="n">
        <f aca="false">_xlfn.T.DIST(A37,10,0)</f>
        <v>0.360341774576743</v>
      </c>
      <c r="F37" s="0" t="n">
        <f aca="false">_xlfn.T.DIST(A37,20,0)</f>
        <v>0.366043491411426</v>
      </c>
      <c r="G37" s="0" t="n">
        <f aca="false">_xlfn.T.DIST(A37,30,0)</f>
        <v>0.367968913863115</v>
      </c>
      <c r="H37" s="0" t="n">
        <f aca="false">_xlfn.NORM.DIST(A37,0,1,0)</f>
        <v>0.371855093869769</v>
      </c>
    </row>
    <row r="38" customFormat="false" ht="12.8" hidden="false" customHeight="false" outlineLevel="0" collapsed="false">
      <c r="A38" s="0" t="n">
        <f aca="false">A37+1/8</f>
        <v>0.5</v>
      </c>
      <c r="B38" s="0" t="n">
        <f aca="false">_xlfn.T.DIST(A38,1,0)</f>
        <v>0.254647908947033</v>
      </c>
      <c r="C38" s="0" t="n">
        <f aca="false">_xlfn.T.DIST(A38,2,0)</f>
        <v>0.296296296296296</v>
      </c>
      <c r="D38" s="0" t="n">
        <f aca="false">_xlfn.T.DIST(A38,3,0)</f>
        <v>0.313180911008829</v>
      </c>
      <c r="E38" s="0" t="n">
        <f aca="false">_xlfn.T.DIST(A38,10,0)</f>
        <v>0.339695136352078</v>
      </c>
      <c r="F38" s="0" t="n">
        <f aca="false">_xlfn.T.DIST(A38,20,0)</f>
        <v>0.345808612383742</v>
      </c>
      <c r="G38" s="0" t="n">
        <f aca="false">_xlfn.T.DIST(A38,30,0)</f>
        <v>0.347878579697205</v>
      </c>
      <c r="H38" s="0" t="n">
        <f aca="false">_xlfn.NORM.DIST(A38,0,1,0)</f>
        <v>0.3520653267643</v>
      </c>
    </row>
    <row r="39" customFormat="false" ht="12.8" hidden="false" customHeight="false" outlineLevel="0" collapsed="false">
      <c r="A39" s="0" t="n">
        <f aca="false">A38+1/8</f>
        <v>0.625</v>
      </c>
      <c r="B39" s="0" t="n">
        <f aca="false">_xlfn.T.DIST(A39,1,0)</f>
        <v>0.228896996806321</v>
      </c>
      <c r="C39" s="0" t="n">
        <f aca="false">_xlfn.T.DIST(A39,2,0)</f>
        <v>0.270540827927239</v>
      </c>
      <c r="D39" s="0" t="n">
        <f aca="false">_xlfn.T.DIST(A39,3,0)</f>
        <v>0.287741488115823</v>
      </c>
      <c r="E39" s="0" t="n">
        <f aca="false">_xlfn.T.DIST(A39,10,0)</f>
        <v>0.315167477824462</v>
      </c>
      <c r="F39" s="0" t="n">
        <f aca="false">_xlfn.T.DIST(A39,20,0)</f>
        <v>0.321571794165692</v>
      </c>
      <c r="G39" s="0" t="n">
        <f aca="false">_xlfn.T.DIST(A39,30,0)</f>
        <v>0.323747759532589</v>
      </c>
      <c r="H39" s="0" t="n">
        <f aca="false">_xlfn.NORM.DIST(A39,0,1,0)</f>
        <v>0.328160968550375</v>
      </c>
    </row>
    <row r="40" customFormat="false" ht="12.8" hidden="false" customHeight="false" outlineLevel="0" collapsed="false">
      <c r="A40" s="0" t="n">
        <f aca="false">A39+1/8</f>
        <v>0.75</v>
      </c>
      <c r="B40" s="0" t="n">
        <f aca="false">_xlfn.T.DIST(A40,1,0)</f>
        <v>0.203718327157626</v>
      </c>
      <c r="C40" s="0" t="n">
        <f aca="false">_xlfn.T.DIST(A40,2,0)</f>
        <v>0.24378343319197</v>
      </c>
      <c r="D40" s="0" t="n">
        <f aca="false">_xlfn.T.DIST(A40,3,0)</f>
        <v>0.260646716949176</v>
      </c>
      <c r="E40" s="0" t="n">
        <f aca="false">_xlfn.T.DIST(A40,10,0)</f>
        <v>0.287974224693945</v>
      </c>
      <c r="F40" s="0" t="n">
        <f aca="false">_xlfn.T.DIST(A40,20,0)</f>
        <v>0.294443169431178</v>
      </c>
      <c r="G40" s="0" t="n">
        <f aca="false">_xlfn.T.DIST(A40,30,0)</f>
        <v>0.296649402107909</v>
      </c>
      <c r="H40" s="0" t="n">
        <f aca="false">_xlfn.NORM.DIST(A40,0,1,0)</f>
        <v>0.301137432154804</v>
      </c>
    </row>
    <row r="41" customFormat="false" ht="12.8" hidden="false" customHeight="false" outlineLevel="0" collapsed="false">
      <c r="A41" s="0" t="n">
        <f aca="false">A40+1/8</f>
        <v>0.875</v>
      </c>
      <c r="B41" s="0" t="n">
        <f aca="false">_xlfn.T.DIST(A41,1,0)</f>
        <v>0.180281705449227</v>
      </c>
      <c r="C41" s="0" t="n">
        <f aca="false">_xlfn.T.DIST(A41,2,0)</f>
        <v>0.217425291716073</v>
      </c>
      <c r="D41" s="0" t="n">
        <f aca="false">_xlfn.T.DIST(A41,3,0)</f>
        <v>0.233285565570255</v>
      </c>
      <c r="E41" s="0" t="n">
        <f aca="false">_xlfn.T.DIST(A41,10,0)</f>
        <v>0.259331173274921</v>
      </c>
      <c r="F41" s="0" t="n">
        <f aca="false">_xlfn.T.DIST(A41,20,0)</f>
        <v>0.265568170306444</v>
      </c>
      <c r="G41" s="0" t="n">
        <f aca="false">_xlfn.T.DIST(A41,30,0)</f>
        <v>0.267702273320424</v>
      </c>
      <c r="H41" s="0" t="n">
        <f aca="false">_xlfn.NORM.DIST(A41,0,1,0)</f>
        <v>0.272054998378543</v>
      </c>
    </row>
    <row r="42" customFormat="false" ht="12.8" hidden="false" customHeight="false" outlineLevel="0" collapsed="false">
      <c r="A42" s="0" t="n">
        <f aca="false">A41+1/8</f>
        <v>1</v>
      </c>
      <c r="B42" s="0" t="n">
        <f aca="false">_xlfn.T.DIST(A42,1,0)</f>
        <v>0.159154943091895</v>
      </c>
      <c r="C42" s="0" t="n">
        <f aca="false">_xlfn.T.DIST(A42,2,0)</f>
        <v>0.192450089729875</v>
      </c>
      <c r="D42" s="0" t="n">
        <f aca="false">_xlfn.T.DIST(A42,3,0)</f>
        <v>0.206748335783172</v>
      </c>
      <c r="E42" s="0" t="n">
        <f aca="false">_xlfn.T.DIST(A42,10,0)</f>
        <v>0.230361989229139</v>
      </c>
      <c r="F42" s="0" t="n">
        <f aca="false">_xlfn.T.DIST(A42,20,0)</f>
        <v>0.236045649126701</v>
      </c>
      <c r="G42" s="0" t="n">
        <f aca="false">_xlfn.T.DIST(A42,30,0)</f>
        <v>0.237993342322879</v>
      </c>
      <c r="H42" s="0" t="n">
        <f aca="false">_xlfn.NORM.DIST(A42,0,1,0)</f>
        <v>0.241970724519143</v>
      </c>
    </row>
    <row r="43" customFormat="false" ht="12.8" hidden="false" customHeight="false" outlineLevel="0" collapsed="false">
      <c r="A43" s="0" t="n">
        <f aca="false">A42+1/8</f>
        <v>1.125</v>
      </c>
      <c r="B43" s="0" t="n">
        <f aca="false">_xlfn.T.DIST(A43,1,0)</f>
        <v>0.140495398039742</v>
      </c>
      <c r="C43" s="0" t="n">
        <f aca="false">_xlfn.T.DIST(A43,2,0)</f>
        <v>0.169453495454273</v>
      </c>
      <c r="D43" s="0" t="n">
        <f aca="false">_xlfn.T.DIST(A43,3,0)</f>
        <v>0.181801163760227</v>
      </c>
      <c r="E43" s="0" t="n">
        <f aca="false">_xlfn.T.DIST(A43,10,0)</f>
        <v>0.202030291021184</v>
      </c>
      <c r="F43" s="0" t="n">
        <f aca="false">_xlfn.T.DIST(A43,20,0)</f>
        <v>0.206860707960146</v>
      </c>
      <c r="G43" s="0" t="n">
        <f aca="false">_xlfn.T.DIST(A43,30,0)</f>
        <v>0.208511871109227</v>
      </c>
      <c r="H43" s="0" t="n">
        <f aca="false">_xlfn.NORM.DIST(A43,0,1,0)</f>
        <v>0.211876645775699</v>
      </c>
    </row>
    <row r="44" customFormat="false" ht="12.8" hidden="false" customHeight="false" outlineLevel="0" collapsed="false">
      <c r="A44" s="0" t="n">
        <f aca="false">A43+1/8</f>
        <v>1.25</v>
      </c>
      <c r="B44" s="0" t="n">
        <f aca="false">_xlfn.T.DIST(A44,1,0)</f>
        <v>0.124218492169284</v>
      </c>
      <c r="C44" s="0" t="n">
        <f aca="false">_xlfn.T.DIST(A44,2,0)</f>
        <v>0.148719422547654</v>
      </c>
      <c r="D44" s="0" t="n">
        <f aca="false">_xlfn.T.DIST(A44,3,0)</f>
        <v>0.158911837749648</v>
      </c>
      <c r="E44" s="0" t="n">
        <f aca="false">_xlfn.T.DIST(A44,10,0)</f>
        <v>0.175099935807413</v>
      </c>
      <c r="F44" s="0" t="n">
        <f aca="false">_xlfn.T.DIST(A44,20,0)</f>
        <v>0.178837221606673</v>
      </c>
      <c r="G44" s="0" t="n">
        <f aca="false">_xlfn.T.DIST(A44,30,0)</f>
        <v>0.180100298630059</v>
      </c>
      <c r="H44" s="0" t="n">
        <f aca="false">_xlfn.NORM.DIST(A44,0,1,0)</f>
        <v>0.182649085389022</v>
      </c>
    </row>
    <row r="45" customFormat="false" ht="12.8" hidden="false" customHeight="false" outlineLevel="0" collapsed="false">
      <c r="A45" s="0" t="n">
        <f aca="false">A44+1/8</f>
        <v>1.375</v>
      </c>
      <c r="B45" s="0" t="n">
        <f aca="false">_xlfn.T.DIST(A45,1,0)</f>
        <v>0.110118014679798</v>
      </c>
      <c r="C45" s="0" t="n">
        <f aca="false">_xlfn.T.DIST(A45,2,0)</f>
        <v>0.130307958340776</v>
      </c>
      <c r="D45" s="0" t="n">
        <f aca="false">_xlfn.T.DIST(A45,3,0)</f>
        <v>0.138303534116771</v>
      </c>
      <c r="E45" s="0" t="n">
        <f aca="false">_xlfn.T.DIST(A45,10,0)</f>
        <v>0.150122169890775</v>
      </c>
      <c r="F45" s="0" t="n">
        <f aca="false">_xlfn.T.DIST(A45,20,0)</f>
        <v>0.152611724831597</v>
      </c>
      <c r="G45" s="0" t="n">
        <f aca="false">_xlfn.T.DIST(A45,30,0)</f>
        <v>0.153424277310708</v>
      </c>
      <c r="H45" s="0" t="n">
        <f aca="false">_xlfn.NORM.DIST(A45,0,1,0)</f>
        <v>0.155012265458293</v>
      </c>
    </row>
    <row r="46" customFormat="false" ht="12.8" hidden="false" customHeight="false" outlineLevel="0" collapsed="false">
      <c r="A46" s="0" t="n">
        <f aca="false">A45+1/8</f>
        <v>1.5</v>
      </c>
      <c r="B46" s="0" t="n">
        <f aca="false">_xlfn.T.DIST(A46,1,0)</f>
        <v>0.0979415034411664</v>
      </c>
      <c r="C46" s="0" t="n">
        <f aca="false">_xlfn.T.DIST(A46,2,0)</f>
        <v>0.114134411781804</v>
      </c>
      <c r="D46" s="0" t="n">
        <f aca="false">_xlfn.T.DIST(A46,3,0)</f>
        <v>0.120017174513587</v>
      </c>
      <c r="E46" s="0" t="n">
        <f aca="false">_xlfn.T.DIST(A46,10,0)</f>
        <v>0.127444794287092</v>
      </c>
      <c r="F46" s="0" t="n">
        <f aca="false">_xlfn.T.DIST(A46,20,0)</f>
        <v>0.128627382972146</v>
      </c>
      <c r="G46" s="0" t="n">
        <f aca="false">_xlfn.T.DIST(A46,30,0)</f>
        <v>0.128961601739672</v>
      </c>
      <c r="H46" s="0" t="n">
        <f aca="false">_xlfn.NORM.DIST(A46,0,1,0)</f>
        <v>0.129517595665892</v>
      </c>
    </row>
    <row r="47" customFormat="false" ht="12.8" hidden="false" customHeight="false" outlineLevel="0" collapsed="false">
      <c r="A47" s="0" t="n">
        <f aca="false">A46+1/8</f>
        <v>1.625</v>
      </c>
      <c r="B47" s="0" t="n">
        <f aca="false">_xlfn.T.DIST(A47,1,0)</f>
        <v>0.0874327584367494</v>
      </c>
      <c r="C47" s="0" t="n">
        <f aca="false">_xlfn.T.DIST(A47,2,0)</f>
        <v>0.100031155835373</v>
      </c>
      <c r="D47" s="0" t="n">
        <f aca="false">_xlfn.T.DIST(A47,3,0)</f>
        <v>0.103969881553134</v>
      </c>
      <c r="E47" s="0" t="n">
        <f aca="false">_xlfn.T.DIST(A47,10,0)</f>
        <v>0.107236733475078</v>
      </c>
      <c r="F47" s="0" t="n">
        <f aca="false">_xlfn.T.DIST(A47,20,0)</f>
        <v>0.107144596552046</v>
      </c>
      <c r="G47" s="0" t="n">
        <f aca="false">_xlfn.T.DIST(A47,30,0)</f>
        <v>0.107007653218951</v>
      </c>
      <c r="H47" s="0" t="n">
        <f aca="false">_xlfn.NORM.DIST(A47,0,1,0)</f>
        <v>0.106538268130585</v>
      </c>
    </row>
    <row r="48" customFormat="false" ht="12.8" hidden="false" customHeight="false" outlineLevel="0" collapsed="false">
      <c r="A48" s="0" t="n">
        <f aca="false">A47+1/8</f>
        <v>1.75</v>
      </c>
      <c r="B48" s="0" t="n">
        <f aca="false">_xlfn.T.DIST(A48,1,0)</f>
        <v>0.0783532027529331</v>
      </c>
      <c r="C48" s="0" t="n">
        <f aca="false">_xlfn.T.DIST(A48,2,0)</f>
        <v>0.0877914951989026</v>
      </c>
      <c r="D48" s="0" t="n">
        <f aca="false">_xlfn.T.DIST(A48,3,0)</f>
        <v>0.0900033142063846</v>
      </c>
      <c r="E48" s="0" t="n">
        <f aca="false">_xlfn.T.DIST(A48,10,0)</f>
        <v>0.0895212050195621</v>
      </c>
      <c r="F48" s="0" t="n">
        <f aca="false">_xlfn.T.DIST(A48,20,0)</f>
        <v>0.0882635859151642</v>
      </c>
      <c r="G48" s="0" t="n">
        <f aca="false">_xlfn.T.DIST(A48,30,0)</f>
        <v>0.0876935955819216</v>
      </c>
      <c r="H48" s="0" t="n">
        <f aca="false">_xlfn.NORM.DIST(A48,0,1,0)</f>
        <v>0.0862773188265115</v>
      </c>
    </row>
    <row r="49" customFormat="false" ht="12.8" hidden="false" customHeight="false" outlineLevel="0" collapsed="false">
      <c r="A49" s="0" t="n">
        <f aca="false">A48+1/8</f>
        <v>1.875</v>
      </c>
      <c r="B49" s="0" t="n">
        <f aca="false">_xlfn.T.DIST(A49,1,0)</f>
        <v>0.0704907706427772</v>
      </c>
      <c r="C49" s="0" t="n">
        <f aca="false">_xlfn.T.DIST(A49,2,0)</f>
        <v>0.077198329532896</v>
      </c>
      <c r="D49" s="0" t="n">
        <f aca="false">_xlfn.T.DIST(A49,3,0)</f>
        <v>0.0779201613321485</v>
      </c>
      <c r="E49" s="0" t="n">
        <f aca="false">_xlfn.T.DIST(A49,10,0)</f>
        <v>0.0742116101272924</v>
      </c>
      <c r="F49" s="0" t="n">
        <f aca="false">_xlfn.T.DIST(A49,20,0)</f>
        <v>0.0719540215735576</v>
      </c>
      <c r="G49" s="0" t="n">
        <f aca="false">_xlfn.T.DIST(A49,30,0)</f>
        <v>0.0710129514595371</v>
      </c>
      <c r="H49" s="0" t="n">
        <f aca="false">_xlfn.NORM.DIST(A49,0,1,0)</f>
        <v>0.0687862758266919</v>
      </c>
    </row>
    <row r="50" customFormat="false" ht="12.8" hidden="false" customHeight="false" outlineLevel="0" collapsed="false">
      <c r="A50" s="0" t="n">
        <f aca="false">A49+1/8</f>
        <v>2</v>
      </c>
      <c r="B50" s="0" t="n">
        <f aca="false">_xlfn.T.DIST(A50,1,0)</f>
        <v>0.0636619772367582</v>
      </c>
      <c r="C50" s="0" t="n">
        <f aca="false">_xlfn.T.DIST(A50,2,0)</f>
        <v>0.0680413817439772</v>
      </c>
      <c r="D50" s="0" t="n">
        <f aca="false">_xlfn.T.DIST(A50,3,0)</f>
        <v>0.0675096606638929</v>
      </c>
      <c r="E50" s="0" t="n">
        <f aca="false">_xlfn.T.DIST(A50,10,0)</f>
        <v>0.0611457663212182</v>
      </c>
      <c r="F50" s="0" t="n">
        <f aca="false">_xlfn.T.DIST(A50,20,0)</f>
        <v>0.058087215247357</v>
      </c>
      <c r="G50" s="0" t="n">
        <f aca="false">_xlfn.T.DIST(A50,30,0)</f>
        <v>0.056852275047198</v>
      </c>
      <c r="H50" s="0" t="n">
        <f aca="false">_xlfn.NORM.DIST(A50,0,1,0)</f>
        <v>0.0539909665131881</v>
      </c>
    </row>
    <row r="51" customFormat="false" ht="12.8" hidden="false" customHeight="false" outlineLevel="0" collapsed="false">
      <c r="A51" s="0" t="n">
        <f aca="false">A50+1/8</f>
        <v>2.125</v>
      </c>
      <c r="B51" s="0" t="n">
        <f aca="false">_xlfn.T.DIST(A51,1,0)</f>
        <v>0.0577105742656165</v>
      </c>
      <c r="C51" s="0" t="n">
        <f aca="false">_xlfn.T.DIST(A51,2,0)</f>
        <v>0.0601264936977671</v>
      </c>
      <c r="D51" s="0" t="n">
        <f aca="false">_xlfn.T.DIST(A51,3,0)</f>
        <v>0.0585641440600878</v>
      </c>
      <c r="E51" s="0" t="n">
        <f aca="false">_xlfn.T.DIST(A51,10,0)</f>
        <v>0.050115725110345</v>
      </c>
      <c r="F51" s="0" t="n">
        <f aca="false">_xlfn.T.DIST(A51,20,0)</f>
        <v>0.046467297355627</v>
      </c>
      <c r="G51" s="0" t="n">
        <f aca="false">_xlfn.T.DIST(A51,30,0)</f>
        <v>0.0450222363318057</v>
      </c>
      <c r="H51" s="0" t="n">
        <f aca="false">_xlfn.NORM.DIST(A51,0,1,0)</f>
        <v>0.0417209852563386</v>
      </c>
    </row>
    <row r="52" customFormat="false" ht="12.8" hidden="false" customHeight="false" outlineLevel="0" collapsed="false">
      <c r="A52" s="0" t="n">
        <f aca="false">A51+1/8</f>
        <v>2.25</v>
      </c>
      <c r="B52" s="0" t="n">
        <f aca="false">_xlfn.T.DIST(A52,1,0)</f>
        <v>0.0525047234942335</v>
      </c>
      <c r="C52" s="0" t="n">
        <f aca="false">_xlfn.T.DIST(A52,2,0)</f>
        <v>0.0532797659969471</v>
      </c>
      <c r="D52" s="0" t="n">
        <f aca="false">_xlfn.T.DIST(A52,3,0)</f>
        <v>0.0508888398153881</v>
      </c>
      <c r="E52" s="0" t="n">
        <f aca="false">_xlfn.T.DIST(A52,10,0)</f>
        <v>0.0408918499889489</v>
      </c>
      <c r="F52" s="0" t="n">
        <f aca="false">_xlfn.T.DIST(A52,20,0)</f>
        <v>0.0368589110049578</v>
      </c>
      <c r="G52" s="0" t="n">
        <f aca="false">_xlfn.T.DIST(A52,30,0)</f>
        <v>0.0352863261773749</v>
      </c>
      <c r="H52" s="0" t="n">
        <f aca="false">_xlfn.NORM.DIST(A52,0,1,0)</f>
        <v>0.0317396518356674</v>
      </c>
    </row>
    <row r="53" customFormat="false" ht="12.8" hidden="false" customHeight="false" outlineLevel="0" collapsed="false">
      <c r="A53" s="0" t="n">
        <f aca="false">A52+1/8</f>
        <v>2.375</v>
      </c>
      <c r="B53" s="0" t="n">
        <f aca="false">_xlfn.T.DIST(A53,1,0)</f>
        <v>0.0479337240370885</v>
      </c>
      <c r="C53" s="0" t="n">
        <f aca="false">_xlfn.T.DIST(A53,2,0)</f>
        <v>0.0473485487531331</v>
      </c>
      <c r="D53" s="0" t="n">
        <f aca="false">_xlfn.T.DIST(A53,3,0)</f>
        <v>0.0443069331964918</v>
      </c>
      <c r="E53" s="0" t="n">
        <f aca="false">_xlfn.T.DIST(A53,10,0)</f>
        <v>0.0332409187847683</v>
      </c>
      <c r="F53" s="0" t="n">
        <f aca="false">_xlfn.T.DIST(A53,20,0)</f>
        <v>0.0290100328282257</v>
      </c>
      <c r="G53" s="0" t="n">
        <f aca="false">_xlfn.T.DIST(A53,30,0)</f>
        <v>0.0273853778553027</v>
      </c>
      <c r="H53" s="0" t="n">
        <f aca="false">_xlfn.NORM.DIST(A53,0,1,0)</f>
        <v>0.0237719008299138</v>
      </c>
    </row>
    <row r="54" customFormat="false" ht="12.8" hidden="false" customHeight="false" outlineLevel="0" collapsed="false">
      <c r="A54" s="0" t="n">
        <f aca="false">A53+1/8</f>
        <v>2.5</v>
      </c>
      <c r="B54" s="0" t="n">
        <f aca="false">_xlfn.T.DIST(A54,1,0)</f>
        <v>0.0439048118874194</v>
      </c>
      <c r="C54" s="0" t="n">
        <f aca="false">_xlfn.T.DIST(A54,2,0)</f>
        <v>0.042200643868048</v>
      </c>
      <c r="D54" s="0" t="n">
        <f aca="false">_xlfn.T.DIST(A54,3,0)</f>
        <v>0.0386614857271673</v>
      </c>
      <c r="E54" s="0" t="n">
        <f aca="false">_xlfn.T.DIST(A54,10,0)</f>
        <v>0.0269387276282445</v>
      </c>
      <c r="F54" s="0" t="n">
        <f aca="false">_xlfn.T.DIST(A54,20,0)</f>
        <v>0.0226694437191449</v>
      </c>
      <c r="G54" s="0" t="n">
        <f aca="false">_xlfn.T.DIST(A54,30,0)</f>
        <v>0.0210570192206216</v>
      </c>
      <c r="H54" s="0" t="n">
        <f aca="false">_xlfn.NORM.DIST(A54,0,1,0)</f>
        <v>0.0175283004935685</v>
      </c>
    </row>
    <row r="55" customFormat="false" ht="12.8" hidden="false" customHeight="false" outlineLevel="0" collapsed="false">
      <c r="A55" s="0" t="n">
        <f aca="false">A54+1/8</f>
        <v>2.625</v>
      </c>
      <c r="B55" s="0" t="n">
        <f aca="false">_xlfn.T.DIST(A55,1,0)</f>
        <v>0.0403402628034903</v>
      </c>
      <c r="C55" s="0" t="n">
        <f aca="false">_xlfn.T.DIST(A55,2,0)</f>
        <v>0.0377225950391851</v>
      </c>
      <c r="D55" s="0" t="n">
        <f aca="false">_xlfn.T.DIST(A55,3,0)</f>
        <v>0.0338154003076849</v>
      </c>
      <c r="E55" s="0" t="n">
        <f aca="false">_xlfn.T.DIST(A55,10,0)</f>
        <v>0.0217780569242191</v>
      </c>
      <c r="F55" s="0" t="n">
        <f aca="false">_xlfn.T.DIST(A55,20,0)</f>
        <v>0.017599048286917</v>
      </c>
      <c r="G55" s="0" t="n">
        <f aca="false">_xlfn.T.DIST(A55,30,0)</f>
        <v>0.0160499195421959</v>
      </c>
      <c r="H55" s="0" t="n">
        <f aca="false">_xlfn.NORM.DIST(A55,0,1,0)</f>
        <v>0.0127241815968314</v>
      </c>
    </row>
    <row r="56" customFormat="false" ht="12.8" hidden="false" customHeight="false" outlineLevel="0" collapsed="false">
      <c r="A56" s="0" t="n">
        <f aca="false">A55+1/8</f>
        <v>2.75</v>
      </c>
      <c r="B56" s="0" t="n">
        <f aca="false">_xlfn.T.DIST(A56,1,0)</f>
        <v>0.0371748772185449</v>
      </c>
      <c r="C56" s="0" t="n">
        <f aca="false">_xlfn.T.DIST(A56,2,0)</f>
        <v>0.0338176034909048</v>
      </c>
      <c r="D56" s="0" t="n">
        <f aca="false">_xlfn.T.DIST(A56,3,0)</f>
        <v>0.0296502637641495</v>
      </c>
      <c r="E56" s="0" t="n">
        <f aca="false">_xlfn.T.DIST(A56,10,0)</f>
        <v>0.0175729929017206</v>
      </c>
      <c r="F56" s="0" t="n">
        <f aca="false">_xlfn.T.DIST(A56,20,0)</f>
        <v>0.0135816715308245</v>
      </c>
      <c r="G56" s="0" t="n">
        <f aca="false">_xlfn.T.DIST(A56,30,0)</f>
        <v>0.01213323132656</v>
      </c>
      <c r="H56" s="0" t="n">
        <f aca="false">_xlfn.NORM.DIST(A56,0,1,0)</f>
        <v>0.00909356250159105</v>
      </c>
    </row>
    <row r="57" customFormat="false" ht="12.8" hidden="false" customHeight="false" outlineLevel="0" collapsed="false">
      <c r="A57" s="0" t="n">
        <f aca="false">A56+1/8</f>
        <v>2.875</v>
      </c>
      <c r="B57" s="0" t="n">
        <f aca="false">_xlfn.T.DIST(A57,1,0)</f>
        <v>0.0343538494363619</v>
      </c>
      <c r="C57" s="0" t="n">
        <f aca="false">_xlfn.T.DIST(A57,2,0)</f>
        <v>0.0304033827318208</v>
      </c>
      <c r="D57" s="0" t="n">
        <f aca="false">_xlfn.T.DIST(A57,3,0)</f>
        <v>0.0260646215552178</v>
      </c>
      <c r="E57" s="0" t="n">
        <f aca="false">_xlfn.T.DIST(A57,10,0)</f>
        <v>0.0141605667004116</v>
      </c>
      <c r="F57" s="0" t="n">
        <f aca="false">_xlfn.T.DIST(A57,20,0)</f>
        <v>0.0104251753693731</v>
      </c>
      <c r="G57" s="0" t="n">
        <f aca="false">_xlfn.T.DIST(A57,30,0)</f>
        <v>0.00910195093205638</v>
      </c>
      <c r="H57" s="0" t="n">
        <f aca="false">_xlfn.NORM.DIST(A57,0,1,0)</f>
        <v>0.00639812031072356</v>
      </c>
    </row>
    <row r="58" customFormat="false" ht="12.8" hidden="false" customHeight="false" outlineLevel="0" collapsed="false">
      <c r="A58" s="0" t="n">
        <f aca="false">A57+1/8</f>
        <v>3</v>
      </c>
      <c r="B58" s="0" t="n">
        <f aca="false">_xlfn.T.DIST(A58,1,0)</f>
        <v>0.0318309886183791</v>
      </c>
      <c r="C58" s="0" t="n">
        <f aca="false">_xlfn.T.DIST(A58,2,0)</f>
        <v>0.0274101222343421</v>
      </c>
      <c r="D58" s="0" t="n">
        <f aca="false">_xlfn.T.DIST(A58,3,0)</f>
        <v>0.0229720373092413</v>
      </c>
      <c r="E58" s="0" t="n">
        <f aca="false">_xlfn.T.DIST(A58,10,0)</f>
        <v>0.0114005494645425</v>
      </c>
      <c r="F58" s="0" t="n">
        <f aca="false">_xlfn.T.DIST(A58,20,0)</f>
        <v>0.00796378664618066</v>
      </c>
      <c r="G58" s="0" t="n">
        <f aca="false">_xlfn.T.DIST(A58,30,0)</f>
        <v>0.0067790627460931</v>
      </c>
      <c r="H58" s="0" t="n">
        <f aca="false">_xlfn.NORM.DIST(A58,0,1,0)</f>
        <v>0.00443184841193801</v>
      </c>
    </row>
    <row r="59" customFormat="false" ht="12.8" hidden="false" customHeight="false" outlineLevel="0" collapsed="false">
      <c r="A59" s="0" t="n">
        <f aca="false">A58+1/8</f>
        <v>3.125</v>
      </c>
      <c r="B59" s="0" t="n">
        <f aca="false">_xlfn.T.DIST(A59,1,0)</f>
        <v>0.0295672463218615</v>
      </c>
      <c r="C59" s="0" t="n">
        <f aca="false">_xlfn.T.DIST(A59,2,0)</f>
        <v>0.0247786417492995</v>
      </c>
      <c r="D59" s="0" t="n">
        <f aca="false">_xlfn.T.DIST(A59,3,0)</f>
        <v>0.020299149400044</v>
      </c>
      <c r="E59" s="0" t="n">
        <f aca="false">_xlfn.T.DIST(A59,10,0)</f>
        <v>0.00917408067846241</v>
      </c>
      <c r="F59" s="0" t="n">
        <f aca="false">_xlfn.T.DIST(A59,20,0)</f>
        <v>0.00605746664204048</v>
      </c>
      <c r="G59" s="0" t="n">
        <f aca="false">_xlfn.T.DIST(A59,30,0)</f>
        <v>0.00501533521764475</v>
      </c>
      <c r="H59" s="0" t="n">
        <f aca="false">_xlfn.NORM.DIST(A59,0,1,0)</f>
        <v>0.00302225803519876</v>
      </c>
    </row>
    <row r="60" customFormat="false" ht="12.8" hidden="false" customHeight="false" outlineLevel="0" collapsed="false">
      <c r="A60" s="0" t="n">
        <f aca="false">A59+1/8</f>
        <v>3.25</v>
      </c>
      <c r="B60" s="0" t="n">
        <f aca="false">_xlfn.T.DIST(A60,1,0)</f>
        <v>0.0275295036699495</v>
      </c>
      <c r="C60" s="0" t="n">
        <f aca="false">_xlfn.T.DIST(A60,2,0)</f>
        <v>0.0224587658780847</v>
      </c>
      <c r="D60" s="0" t="n">
        <f aca="false">_xlfn.T.DIST(A60,3,0)</f>
        <v>0.0179838430072389</v>
      </c>
      <c r="E60" s="0" t="n">
        <f aca="false">_xlfn.T.DIST(A60,10,0)</f>
        <v>0.00738164328675555</v>
      </c>
      <c r="F60" s="0" t="n">
        <f aca="false">_xlfn.T.DIST(A60,20,0)</f>
        <v>0.00459002859982249</v>
      </c>
      <c r="G60" s="0" t="n">
        <f aca="false">_xlfn.T.DIST(A60,30,0)</f>
        <v>0.00368755064264366</v>
      </c>
      <c r="H60" s="0" t="n">
        <f aca="false">_xlfn.NORM.DIST(A60,0,1,0)</f>
        <v>0.00202904805729977</v>
      </c>
    </row>
    <row r="61" customFormat="false" ht="12.8" hidden="false" customHeight="false" outlineLevel="0" collapsed="false">
      <c r="A61" s="0" t="n">
        <f aca="false">A60+1/8</f>
        <v>3.375</v>
      </c>
      <c r="B61" s="0" t="n">
        <f aca="false">_xlfn.T.DIST(A61,1,0)</f>
        <v>0.0256895746730928</v>
      </c>
      <c r="C61" s="0" t="n">
        <f aca="false">_xlfn.T.DIST(A61,2,0)</f>
        <v>0.0204079192923454</v>
      </c>
      <c r="D61" s="0" t="n">
        <f aca="false">_xlfn.T.DIST(A61,3,0)</f>
        <v>0.0159735958694357</v>
      </c>
      <c r="E61" s="0" t="n">
        <f aca="false">_xlfn.T.DIST(A61,10,0)</f>
        <v>0.00594075279013212</v>
      </c>
      <c r="F61" s="0" t="n">
        <f aca="false">_xlfn.T.DIST(A61,20,0)</f>
        <v>0.00346656210719877</v>
      </c>
      <c r="G61" s="0" t="n">
        <f aca="false">_xlfn.T.DIST(A61,30,0)</f>
        <v>0.00269581636733655</v>
      </c>
      <c r="H61" s="0" t="n">
        <f aca="false">_xlfn.NORM.DIST(A61,0,1,0)</f>
        <v>0.00134111887349038</v>
      </c>
    </row>
    <row r="62" customFormat="false" ht="12.8" hidden="false" customHeight="false" outlineLevel="0" collapsed="false">
      <c r="A62" s="0" t="n">
        <f aca="false">A61+1/8</f>
        <v>3.5</v>
      </c>
      <c r="B62" s="0" t="n">
        <f aca="false">_xlfn.T.DIST(A62,1,0)</f>
        <v>0.0240233876365125</v>
      </c>
      <c r="C62" s="0" t="n">
        <f aca="false">_xlfn.T.DIST(A62,2,0)</f>
        <v>0.0185899278184568</v>
      </c>
      <c r="D62" s="0" t="n">
        <f aca="false">_xlfn.T.DIST(A62,3,0)</f>
        <v>0.0142240188015297</v>
      </c>
      <c r="E62" s="0" t="n">
        <f aca="false">_xlfn.T.DIST(A62,10,0)</f>
        <v>0.00478360712670132</v>
      </c>
      <c r="F62" s="0" t="n">
        <f aca="false">_xlfn.T.DIST(A62,20,0)</f>
        <v>0.00261057722759635</v>
      </c>
      <c r="G62" s="0" t="n">
        <f aca="false">_xlfn.T.DIST(A62,30,0)</f>
        <v>0.0019604555808021</v>
      </c>
      <c r="H62" s="0" t="n">
        <f aca="false">_xlfn.NORM.DIST(A62,0,1,0)</f>
        <v>0.00087268269504576</v>
      </c>
    </row>
    <row r="63" customFormat="false" ht="12.8" hidden="false" customHeight="false" outlineLevel="0" collapsed="false">
      <c r="A63" s="0" t="n">
        <f aca="false">A62+1/8</f>
        <v>3.625</v>
      </c>
      <c r="B63" s="0" t="n">
        <f aca="false">_xlfn.T.DIST(A63,1,0)</f>
        <v>0.0225103123931079</v>
      </c>
      <c r="C63" s="0" t="n">
        <f aca="false">_xlfn.T.DIST(A63,2,0)</f>
        <v>0.016974003813006</v>
      </c>
      <c r="D63" s="0" t="n">
        <f aca="false">_xlfn.T.DIST(A63,3,0)</f>
        <v>0.0126975902983593</v>
      </c>
      <c r="E63" s="0" t="n">
        <f aca="false">_xlfn.T.DIST(A63,10,0)</f>
        <v>0.00385485124338714</v>
      </c>
      <c r="F63" s="0" t="n">
        <f aca="false">_xlfn.T.DIST(A63,20,0)</f>
        <v>0.00196115221098651</v>
      </c>
      <c r="G63" s="0" t="n">
        <f aca="false">_xlfn.T.DIST(A63,30,0)</f>
        <v>0.00141883324657218</v>
      </c>
      <c r="H63" s="0" t="n">
        <f aca="false">_xlfn.NORM.DIST(A63,0,1,0)</f>
        <v>0.000559061522232165</v>
      </c>
    </row>
    <row r="64" customFormat="false" ht="12.8" hidden="false" customHeight="false" outlineLevel="0" collapsed="false">
      <c r="A64" s="0" t="n">
        <f aca="false">A63+1/8</f>
        <v>3.75</v>
      </c>
      <c r="B64" s="0" t="n">
        <f aca="false">_xlfn.T.DIST(A64,1,0)</f>
        <v>0.021132606551621</v>
      </c>
      <c r="C64" s="0" t="n">
        <f aca="false">_xlfn.T.DIST(A64,2,0)</f>
        <v>0.0155338922721072</v>
      </c>
      <c r="D64" s="0" t="n">
        <f aca="false">_xlfn.T.DIST(A64,3,0)</f>
        <v>0.0113625727350142</v>
      </c>
      <c r="E64" s="0" t="n">
        <f aca="false">_xlfn.T.DIST(A64,10,0)</f>
        <v>0.00310954238424345</v>
      </c>
      <c r="F64" s="0" t="n">
        <f aca="false">_xlfn.T.DIST(A64,20,0)</f>
        <v>0.00147026337362442</v>
      </c>
      <c r="G64" s="0" t="n">
        <f aca="false">_xlfn.T.DIST(A64,30,0)</f>
        <v>0.00102234971536371</v>
      </c>
      <c r="H64" s="0" t="n">
        <f aca="false">_xlfn.NORM.DIST(A64,0,1,0)</f>
        <v>0.000352595682367445</v>
      </c>
    </row>
    <row r="65" customFormat="false" ht="12.8" hidden="false" customHeight="false" outlineLevel="0" collapsed="false">
      <c r="A65" s="0" t="n">
        <f aca="false">A64+1/8</f>
        <v>3.875</v>
      </c>
      <c r="B65" s="0" t="n">
        <f aca="false">_xlfn.T.DIST(A65,1,0)</f>
        <v>0.0198749587470855</v>
      </c>
      <c r="C65" s="0" t="n">
        <f aca="false">_xlfn.T.DIST(A65,2,0)</f>
        <v>0.0142471547430225</v>
      </c>
      <c r="D65" s="0" t="n">
        <f aca="false">_xlfn.T.DIST(A65,3,0)</f>
        <v>0.0101920920754154</v>
      </c>
      <c r="E65" s="0" t="n">
        <f aca="false">_xlfn.T.DIST(A65,10,0)</f>
        <v>0.00251135506824631</v>
      </c>
      <c r="F65" s="0" t="n">
        <f aca="false">_xlfn.T.DIST(A65,20,0)</f>
        <v>0.00110039555573346</v>
      </c>
      <c r="G65" s="0" t="n">
        <f aca="false">_xlfn.T.DIST(A65,30,0)</f>
        <v>0.000733736554500224</v>
      </c>
      <c r="H65" s="0" t="n">
        <f aca="false">_xlfn.NORM.DIST(A65,0,1,0)</f>
        <v>0.000218931637764612</v>
      </c>
    </row>
    <row r="66" customFormat="false" ht="12.8" hidden="false" customHeight="false" outlineLevel="0" collapsed="false">
      <c r="A66" s="0" t="n">
        <f aca="false">A65+1/8</f>
        <v>4</v>
      </c>
      <c r="B66" s="0" t="n">
        <f aca="false">_xlfn.T.DIST(A66,1,0)</f>
        <v>0.0187241109519877</v>
      </c>
      <c r="C66" s="0" t="n">
        <f aca="false">_xlfn.T.DIST(A66,2,0)</f>
        <v>0.0130945700219731</v>
      </c>
      <c r="D66" s="0" t="n">
        <f aca="false">_xlfn.T.DIST(A66,3,0)</f>
        <v>0.00916336114274447</v>
      </c>
      <c r="E66" s="0" t="n">
        <f aca="false">_xlfn.T.DIST(A66,10,0)</f>
        <v>0.00203103391104122</v>
      </c>
      <c r="F66" s="0" t="n">
        <f aca="false">_xlfn.T.DIST(A66,20,0)</f>
        <v>0.000822474300133139</v>
      </c>
      <c r="G66" s="0" t="n">
        <f aca="false">_xlfn.T.DIST(A66,30,0)</f>
        <v>0.000524716440197409</v>
      </c>
      <c r="H66" s="0" t="n">
        <f aca="false">_xlfn.NORM.DIST(A66,0,1,0)</f>
        <v>0.000133830225764885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2021-06-03T17:31:21Z</dcterms:created>
  <dc:creator/>
  <dc:description/>
  <dc:language>en-US</dc:language>
  <cp:lastModifiedBy/>
  <dcterms:modified xsi:type="dcterms:W3CDTF">2021-06-03T17:36:51Z</dcterms:modified>
  <cp:revision>1</cp:revision>
  <dc:subject/>
  <dc:title/>
</cp:coreProperties>
</file>