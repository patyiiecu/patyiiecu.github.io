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<sst xmlns="http://schemas.openxmlformats.org/spreadsheetml/2006/main" count="10" uniqueCount="10">
  <si>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x_bar=sample mean</t>
  </si>
  <si>
    <t xml:space="preserve">s=sample st dev</t>
  </si>
  <si>
    <t xml:space="preserve">alpha</t>
  </si>
  <si>
    <t xml:space="preserve">n=sample size</t>
  </si>
  <si>
    <t xml:space="preserve">degrees of freedom=n-1</t>
  </si>
  <si>
    <t xml:space="preserve">t_crit</t>
  </si>
  <si>
    <t xml:space="preserve">(st err)=(st dev)/sqrt(n)</t>
  </si>
  <si>
    <t xml:space="preserve">E=(margin of error)=t_crit*(st err)</t>
  </si>
  <si>
    <t xml:space="preserve">(CI low)=x_bar-E</t>
  </si>
  <si>
    <t xml:space="preserve">(CI high)=x_bar+E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</si>
</sst>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5" activeCellId="0" sqref="M25"/>
    </sheetView>
  </sheetViews>
  <sheetFormatPr defaultRowHeight="12.8"/>
  <cols>
    <col collapsed="false" hidden="false" max="1" min="1" style="0" width="27.8367346938776"/>
    <col collapsed="false" hidden="false" max="2" min="2" style="0" width="14.1938775510204"/>
    <col collapsed="false" hidden="false" max="3" min="3" style="0" width="11.7448979591837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0.167</v>
      </c>
    </row>
    <row r="2" customFormat="false" ht="12.8" hidden="false" customHeight="false" outlineLevel="0" collapsed="false">
      <c r="A2" s="0" t="s">
        <v>1</v>
      </c>
      <c r="B2" s="0" t="n">
        <v>0.01</v>
      </c>
    </row>
    <row r="4" customFormat="false" ht="12.8" hidden="false" customHeight="false" outlineLevel="0" collapsed="false">
      <c r="A4" s="0" t="s">
        <v>2</v>
      </c>
      <c r="B4" s="0" t="n">
        <v>0.1</v>
      </c>
    </row>
    <row r="5" customFormat="false" ht="12.8" hidden="false" customHeight="false" outlineLevel="0" collapsed="false">
      <c r="A5" s="0" t="s">
        <v>3</v>
      </c>
      <c r="B5" s="0" t="n">
        <v>51</v>
      </c>
    </row>
    <row r="6" customFormat="false" ht="12.8" hidden="false" customHeight="false" outlineLevel="0" collapsed="false">
      <c r="A6" s="0" t="s">
        <v>4</v>
      </c>
      <c r="B6" s="0" t="n">
        <f aca="false">B5-1</f>
        <v>50</v>
      </c>
    </row>
    <row r="7" customFormat="false" ht="12.8" hidden="false" customHeight="false" outlineLevel="0" collapsed="false">
      <c r="A7" s="0" t="s">
        <v>5</v>
      </c>
      <c r="B7" s="0" t="str">
        <f aca="false">"-T.INV("&amp;B4/2&amp;","&amp;B6&amp;")"</f>
        <v>-T.INV(0.05,50)</v>
      </c>
      <c r="C7" s="0" t="n">
        <f aca="false">-_xlfn.T.INV(B4/2,B6)</f>
        <v>1.67590502516309</v>
      </c>
    </row>
    <row r="8" customFormat="false" ht="12.8" hidden="false" customHeight="false" outlineLevel="0" collapsed="false">
      <c r="A8" s="0" t="s">
        <v>6</v>
      </c>
      <c r="B8" s="0" t="n">
        <f aca="false">$B$2/SQRT(B5)</f>
        <v>0.00140028008402801</v>
      </c>
    </row>
    <row r="9" customFormat="false" ht="12.8" hidden="false" customHeight="false" outlineLevel="0" collapsed="false">
      <c r="A9" s="0" t="s">
        <v>7</v>
      </c>
      <c r="B9" s="0" t="n">
        <f aca="false">C7*B8</f>
        <v>0.00234673642945834</v>
      </c>
    </row>
    <row r="10" customFormat="false" ht="12.8" hidden="false" customHeight="false" outlineLevel="0" collapsed="false">
      <c r="A10" s="0" t="s">
        <v>8</v>
      </c>
      <c r="B10" s="0" t="n">
        <f aca="false">$B$1-B9</f>
        <v>0.164653263570542</v>
      </c>
      <c r="C10" s="0" t="n">
        <f aca="false">ROUND(B10,4)</f>
        <v>0.1647</v>
      </c>
    </row>
    <row r="11" customFormat="false" ht="12.8" hidden="false" customHeight="false" outlineLevel="0" collapsed="false">
      <c r="A11" s="0" t="s">
        <v>9</v>
      </c>
      <c r="B11" s="0" t="n">
        <f aca="false">$B$1+B9</f>
        <v>0.169346736429458</v>
      </c>
      <c r="C11" s="0" t="n">
        <f aca="false">ROUND(B11,4)</f>
        <v>0.1693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2021-06-04T18:08:25Z</dcterms:created>
  <dc:creator/>
  <dc:description/>
  <dc:language>en-US</dc:language>
  <cp:lastModifiedBy/>
  <dcterms:modified xsi:type="dcterms:W3CDTF">2021-06-04T18:18:34Z</dcterms:modified>
  <cp:revision>3</cp:revision>
  <dc:subject/>
  <dc:title/>
</cp:coreProperties>
</file>